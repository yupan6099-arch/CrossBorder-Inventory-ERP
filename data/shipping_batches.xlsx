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美客多自定义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到货前10天，需确认船期，准备好推广计划</t>
        </r>
      </text>
    </comment>
  </commentList>
</comments>
</file>

<file path=xl/sharedStrings.xml><?xml version="1.0" encoding="utf-8"?>
<sst xmlns="http://schemas.openxmlformats.org/spreadsheetml/2006/main" count="1088" uniqueCount="294">
  <si>
    <t>中文品名</t>
  </si>
  <si>
    <t>公司SKU</t>
  </si>
  <si>
    <t>MSKU</t>
  </si>
  <si>
    <t>备注</t>
  </si>
  <si>
    <t>FULL仓</t>
  </si>
  <si>
    <t>入仓号/留仓号</t>
  </si>
  <si>
    <t>Shipment ID</t>
  </si>
  <si>
    <t>是否入仓</t>
  </si>
  <si>
    <t>海外仓数量</t>
  </si>
  <si>
    <t>剩余数量</t>
  </si>
  <si>
    <t>物流商</t>
  </si>
  <si>
    <t>渠道</t>
  </si>
  <si>
    <t>交货日期</t>
  </si>
  <si>
    <t>实际送达日期</t>
  </si>
  <si>
    <t>时效</t>
  </si>
  <si>
    <t>预估送达日期</t>
  </si>
  <si>
    <t>六角形蜂蜜罐套装-24PCS（45ML）</t>
  </si>
  <si>
    <t>HP001ML</t>
  </si>
  <si>
    <t>LIN-HP001ML-ML</t>
  </si>
  <si>
    <t>MXRC03</t>
  </si>
  <si>
    <t>SE250664871MX</t>
  </si>
  <si>
    <t>海运途中</t>
  </si>
  <si>
    <t>/</t>
  </si>
  <si>
    <t>Secer</t>
  </si>
  <si>
    <t>海运</t>
  </si>
  <si>
    <t>3D指甲饰品</t>
  </si>
  <si>
    <t>NA001ML</t>
  </si>
  <si>
    <t>LIN-NA001ML-ML</t>
  </si>
  <si>
    <t>SE250639210MX</t>
  </si>
  <si>
    <t>无缝塑身衣两件装-黑肤S</t>
  </si>
  <si>
    <t>SSY003BWSML</t>
  </si>
  <si>
    <t>LIN-SSY003BWSML-ML</t>
  </si>
  <si>
    <t>SE250660977MX</t>
  </si>
  <si>
    <t>无缝塑身衣两件装-黑肤M</t>
  </si>
  <si>
    <t>SSY003BWMML</t>
  </si>
  <si>
    <t>LIN-SSY003BWMML-ML</t>
  </si>
  <si>
    <t>SE250628977MX</t>
  </si>
  <si>
    <t>无缝塑身衣两件装-黑肤L</t>
  </si>
  <si>
    <t>SSY003BWLML</t>
  </si>
  <si>
    <t>LIN-SSY003BWLML-ML</t>
  </si>
  <si>
    <t>SE250692714MX</t>
  </si>
  <si>
    <t>6件装无钢圈聚拢文胸-黑灰白红绿肤-M</t>
  </si>
  <si>
    <t>YDNY001MML</t>
  </si>
  <si>
    <t>LIN-YDNY001MML-ML</t>
  </si>
  <si>
    <t>SE250784344MX</t>
  </si>
  <si>
    <t>6件装无钢圈聚拢文胸-黑灰白红绿肤-L</t>
  </si>
  <si>
    <t>YDNY001LML</t>
  </si>
  <si>
    <t>LIN-YDNY001LML-ML</t>
  </si>
  <si>
    <t>6件装无钢圈聚拢文胸-黑灰白红绿肤-XL</t>
  </si>
  <si>
    <t>YDNY001XLML</t>
  </si>
  <si>
    <t>LIN-YDNY001XLML-ML</t>
  </si>
  <si>
    <t>2件套女士速干莱卡运动衫-黑黑XL码</t>
  </si>
  <si>
    <t>WQDC003A4ML</t>
  </si>
  <si>
    <t>LIN-WQDC003A4ML-ML</t>
  </si>
  <si>
    <t>丢失赔付</t>
  </si>
  <si>
    <t>汉马</t>
  </si>
  <si>
    <t>美转墨限时达</t>
  </si>
  <si>
    <t>平头哥</t>
  </si>
  <si>
    <t>美转墨经济线</t>
  </si>
  <si>
    <t>2件套女士莱卡速干健身服-黑白L码</t>
  </si>
  <si>
    <t>WQDC001A4ML</t>
  </si>
  <si>
    <t>LIN-WQDC001A4ML-ML</t>
  </si>
  <si>
    <t>长川</t>
  </si>
  <si>
    <t>美转墨</t>
  </si>
  <si>
    <t>2件套女士莱卡速干健身服-黑灰S码</t>
  </si>
  <si>
    <t>WQDC001C2ML</t>
  </si>
  <si>
    <t>LIN-WQDC001C2ML-ML</t>
  </si>
  <si>
    <t>2件套女士速干莱卡运动衫-黑黑M码</t>
  </si>
  <si>
    <t>WQDC003A2ML</t>
  </si>
  <si>
    <t>LIN-WQDC003A2ML-ML</t>
  </si>
  <si>
    <t>CC251007247</t>
  </si>
  <si>
    <t>转运营</t>
  </si>
  <si>
    <t>2件套女士速干莱卡运动衫-黑黑L码</t>
  </si>
  <si>
    <t>WQDC003A3ML</t>
  </si>
  <si>
    <t>LIN-WQDC003A3ML-ML</t>
  </si>
  <si>
    <t>2件套女士速干莱卡运动衫-黑白S码</t>
  </si>
  <si>
    <t>WQDC003B1ML</t>
  </si>
  <si>
    <t>LIN-WQDC003B1ML-ML</t>
  </si>
  <si>
    <t>2件套女士速干莱卡运动衫-黑白M码</t>
  </si>
  <si>
    <t>WQDC003B2ML</t>
  </si>
  <si>
    <t>LIN-WQDC003B2ML-ML</t>
  </si>
  <si>
    <t>2件套女士速干莱卡运动衫-黑白L码</t>
  </si>
  <si>
    <t>WQDC003B3ML</t>
  </si>
  <si>
    <t>LIN-WQDC003B3ML-ML</t>
  </si>
  <si>
    <t>2件套女士速干莱卡运动衫-黑白XL码</t>
  </si>
  <si>
    <t>WQDC003B4ML</t>
  </si>
  <si>
    <t>LIN-WQDC003B4ML-ML</t>
  </si>
  <si>
    <t>女士爱心短袖T恤两件套【白色心跳心+黑色LOVE心】-M码</t>
  </si>
  <si>
    <t>TX001B2ML</t>
  </si>
  <si>
    <t>LIN-TX001B2ML-ML</t>
  </si>
  <si>
    <t>MVP20260128-99</t>
  </si>
  <si>
    <t>入full途中</t>
  </si>
  <si>
    <t>汇众达</t>
  </si>
  <si>
    <t>女士爱心短袖T恤两件套【白色心跳心+黑色LOVE心】-L码</t>
  </si>
  <si>
    <t>TX001B3ML</t>
  </si>
  <si>
    <t>LIN-TX001B3ML-ML</t>
  </si>
  <si>
    <t>女士爱心短袖T恤两件套【白色心跳心+黑色LOVE心】-XL码</t>
  </si>
  <si>
    <t>TX001B4ML</t>
  </si>
  <si>
    <t>LIN-TX001B4ML-ML</t>
  </si>
  <si>
    <t>女士爱心短袖T恤两件套【白色心跳心+黑色LOVE心】-2XL码</t>
  </si>
  <si>
    <t>TX001B5ML</t>
  </si>
  <si>
    <t>LIN-TX001B5ML-ML</t>
  </si>
  <si>
    <t>13条钢骨塑身衣-紫色S</t>
  </si>
  <si>
    <t>SSY004PESML</t>
  </si>
  <si>
    <t>LIN-SSY004PESML-ML</t>
  </si>
  <si>
    <t>MVP20260128-102</t>
  </si>
  <si>
    <t>海外仓</t>
  </si>
  <si>
    <t>13条钢骨塑身衣-紫色M</t>
  </si>
  <si>
    <t>SSY004PEMML</t>
  </si>
  <si>
    <t>LIN-SSY004PEMML-ML</t>
  </si>
  <si>
    <t>13条钢骨塑身衣-紫色XL</t>
  </si>
  <si>
    <t>SSY004PEXLML</t>
  </si>
  <si>
    <t>LIN-SSY004PEXLML-ML</t>
  </si>
  <si>
    <t>13条钢骨塑身衣-肤色L</t>
  </si>
  <si>
    <t>SSY004CRLML</t>
  </si>
  <si>
    <t>LIN-SSY004CRLML-ML</t>
  </si>
  <si>
    <t>13条钢骨塑身衣-肤色XL</t>
  </si>
  <si>
    <t>SSY004CRXLML</t>
  </si>
  <si>
    <t>LIN-SSY004CRXLML-ML</t>
  </si>
  <si>
    <t>13条钢骨塑身衣-黑色XS</t>
  </si>
  <si>
    <t>SSY004BKXSML</t>
  </si>
  <si>
    <t>LIN-SSY004BKXSML-ML</t>
  </si>
  <si>
    <t>MVP20260203-98</t>
  </si>
  <si>
    <t>2件套女士莱卡速干健身服-黑灰XS码</t>
  </si>
  <si>
    <t>WQDC001C1ML</t>
  </si>
  <si>
    <t>LIN-WQDC001C1ML-ML</t>
  </si>
  <si>
    <t>CC260209478</t>
  </si>
  <si>
    <t>2件套女士莱卡速干健身服-黑灰M码</t>
  </si>
  <si>
    <t>WQDC001C3ML</t>
  </si>
  <si>
    <t>LIN-WQDC001C3ML-ML</t>
  </si>
  <si>
    <t>2件套女士莱卡速干健身服-黑灰L码</t>
  </si>
  <si>
    <t>WQDC001C4ML</t>
  </si>
  <si>
    <t>LIN-WQDC001C4ML-ML</t>
  </si>
  <si>
    <t>2件套女士莱卡速干健身服-黑白M码</t>
  </si>
  <si>
    <t>WQDC001A3ML</t>
  </si>
  <si>
    <t>LIN-WQDC001A3ML-ML</t>
  </si>
  <si>
    <t>CC260209479</t>
  </si>
  <si>
    <t>2件套女士莱卡速干健身服-黑粉M码</t>
  </si>
  <si>
    <t>WQDC001D3ML</t>
  </si>
  <si>
    <t>LIN-WQDC001D3ML-ML</t>
  </si>
  <si>
    <t>2件套女士莱卡速干健身服-黑粉L码</t>
  </si>
  <si>
    <t>WQDC001D4ML</t>
  </si>
  <si>
    <t>LIN-WQDC001D4ML-ML</t>
  </si>
  <si>
    <t>MVP20260210-61</t>
  </si>
  <si>
    <t>13条钢骨塑身衣-黑色S</t>
  </si>
  <si>
    <t>SSY004BKSML</t>
  </si>
  <si>
    <t>LIN-SSY004BKSML-ML</t>
  </si>
  <si>
    <t>13条钢骨塑身衣-黑色M</t>
  </si>
  <si>
    <t>SSY004BKMML</t>
  </si>
  <si>
    <t>LIN-SSY004BKMML-ML</t>
  </si>
  <si>
    <t>13条钢骨塑身衣-黑色L</t>
  </si>
  <si>
    <t>SSY004BKLML</t>
  </si>
  <si>
    <t>LIN-SSY004BKLML-ML</t>
  </si>
  <si>
    <t>MVP20260210-62</t>
  </si>
  <si>
    <t>13条钢骨塑身衣-黑色XL</t>
  </si>
  <si>
    <t>SSY004BKXLML</t>
  </si>
  <si>
    <t>LIN-SSY004BKXLML-ML</t>
  </si>
  <si>
    <t>13条钢骨塑身衣-肤色S</t>
  </si>
  <si>
    <t>SSY004CRSML</t>
  </si>
  <si>
    <t>LIN-SSY004CRSML-ML</t>
  </si>
  <si>
    <t>2件便携式防水雨衣-粉色-【平口款】</t>
  </si>
  <si>
    <t>RT005PKML</t>
  </si>
  <si>
    <t>LIN-RT005PKML-ML</t>
  </si>
  <si>
    <t>MVP20260318-34</t>
  </si>
  <si>
    <t>2件便携式防水雨衣-蓝色-【平口款】</t>
  </si>
  <si>
    <t>RT005BLML</t>
  </si>
  <si>
    <t>LIN-RT005BLML-ML</t>
  </si>
  <si>
    <t>CC260310250</t>
  </si>
  <si>
    <t>2件便携式防水雨衣-黑色-【平口款】</t>
  </si>
  <si>
    <t>RT005BKML</t>
  </si>
  <si>
    <t>LIN-RT005BKML-ML</t>
  </si>
  <si>
    <t>CC260310251</t>
  </si>
  <si>
    <t>2件便携式防水雨衣-白色-【平口款】</t>
  </si>
  <si>
    <t>RT005WTML</t>
  </si>
  <si>
    <t>LIN-RT005WTML-ML</t>
  </si>
  <si>
    <t>CC260310252</t>
  </si>
  <si>
    <t>CC260310253</t>
  </si>
  <si>
    <t>（带电）USB充电厨房秤10kg/1g</t>
  </si>
  <si>
    <t>KS004TML</t>
  </si>
  <si>
    <t>LIN-KS004TML-ML</t>
  </si>
  <si>
    <t>MVP20260330-40</t>
  </si>
  <si>
    <t>PU旅行化妆包-粉色</t>
  </si>
  <si>
    <t>CMB001PKML</t>
  </si>
  <si>
    <t>LIN-CMB001PKML-ML</t>
  </si>
  <si>
    <t>MVP20260330-41</t>
  </si>
  <si>
    <t>lulu瑜伽运动短裤-3件套【黑白灰】-M</t>
  </si>
  <si>
    <t>YGS003A2ML</t>
  </si>
  <si>
    <t>LIN-YGS003A2ML-ML</t>
  </si>
  <si>
    <t>lulu瑜伽运动短裤-3件套【黑白灰】-L</t>
  </si>
  <si>
    <t>YGS003A3ML</t>
  </si>
  <si>
    <t>LIN-YGS003A3ML-ML</t>
  </si>
  <si>
    <t>女士腰带-3PCS（金扣）</t>
  </si>
  <si>
    <t>BE004ML</t>
  </si>
  <si>
    <t>LIN-BE004ML-ML</t>
  </si>
  <si>
    <t>CC260511335</t>
  </si>
  <si>
    <t>束腰收腹带-【黑色】-XS码</t>
  </si>
  <si>
    <t>GBB001BKCML</t>
  </si>
  <si>
    <t>LIN-GBB001BKCML-ML</t>
  </si>
  <si>
    <t>MVP20260520-33</t>
  </si>
  <si>
    <t>束腰收腹带-【黑色】-S码</t>
  </si>
  <si>
    <t>GBB001BKSML</t>
  </si>
  <si>
    <t>LIN-GBB001BKSML-ML</t>
  </si>
  <si>
    <t>束腰收腹带-【黑色】-M码</t>
  </si>
  <si>
    <t>GBB001BKMML</t>
  </si>
  <si>
    <t>LIN-GBB001BKMML-ML</t>
  </si>
  <si>
    <t>束腰收腹带-【黑色】-L码</t>
  </si>
  <si>
    <t>GBB001BKLML</t>
  </si>
  <si>
    <t>LIN-GBB001BKLML-ML</t>
  </si>
  <si>
    <t>束腰收腹带-【黑色】-XL码</t>
  </si>
  <si>
    <t>GBB001BKXML</t>
  </si>
  <si>
    <t>LIN-GBB001BKXML-ML</t>
  </si>
  <si>
    <t>PU旅行化妆包-棕色</t>
  </si>
  <si>
    <t>CMB001BRML</t>
  </si>
  <si>
    <t>LIN-CMB001BRML-ML</t>
  </si>
  <si>
    <t>CC260511496</t>
  </si>
  <si>
    <t>CC260511497</t>
  </si>
  <si>
    <t>可重复使用电极垫-44PCS</t>
  </si>
  <si>
    <t>EP001ML</t>
  </si>
  <si>
    <t>LIN-EP001ML-ML</t>
  </si>
  <si>
    <t>CC260511498</t>
  </si>
  <si>
    <t>女士爱心短袖T恤两件套【黑色心跳心+白色LOVE心】-S码-130g</t>
  </si>
  <si>
    <t>TX001A1ML</t>
  </si>
  <si>
    <t>LIN-TX001A1ML-ML</t>
  </si>
  <si>
    <t>女士爱心短袖T恤两件套【黑色心跳心+白色LOVE心】-L码-150g</t>
  </si>
  <si>
    <t>TX001A3ML</t>
  </si>
  <si>
    <t>LIN-TX001A3ML-ML</t>
  </si>
  <si>
    <t>女士爱心短袖T恤两件套【黑色心跳心+白色LOVE心】-XL码-160g</t>
  </si>
  <si>
    <t>TX001A4ML</t>
  </si>
  <si>
    <t>LIN-TX001A4ML-ML</t>
  </si>
  <si>
    <t>女士爱心短袖T恤两件套【黑色心跳心+白色LOVE心】-3XL码-180g</t>
  </si>
  <si>
    <t>TX001A6ML</t>
  </si>
  <si>
    <t>LIN-TX001A6ML-ML</t>
  </si>
  <si>
    <t>女士爱心短袖T恤两件套【白色心跳心+黑色LOVE心】-S码-130g</t>
  </si>
  <si>
    <t>TX001B1ML</t>
  </si>
  <si>
    <t>LIN-TX001B1ML-ML</t>
  </si>
  <si>
    <t>女士爱心短袖T恤两件套【白色心跳心+黑色LOVE心】-M码-140g</t>
  </si>
  <si>
    <t>女士爱心短袖T恤两件套【白色心跳心+黑色LOVE心】-XL码-160g</t>
  </si>
  <si>
    <t>lulu瑜伽运动短裤-3件套【黑白灰】-S</t>
  </si>
  <si>
    <t>YGS003A1ML</t>
  </si>
  <si>
    <t>LIN-YGS003A1ML-ML</t>
  </si>
  <si>
    <t>CC260511630</t>
  </si>
  <si>
    <t>lulu瑜伽运动短裤-3件套【黑白灰】-XL</t>
  </si>
  <si>
    <t>YGS003A4ML</t>
  </si>
  <si>
    <t>LIN-YGS003A4ML-ML</t>
  </si>
  <si>
    <t>lulu瑜伽运动短裤-3件套【黑绿灰】-S</t>
  </si>
  <si>
    <t>YGS003B1ML</t>
  </si>
  <si>
    <t>LIN-YGS003B1ML-ML</t>
  </si>
  <si>
    <t>CC260511631</t>
  </si>
  <si>
    <t>lulu瑜伽运动短裤-3件套【黑绿灰】-M</t>
  </si>
  <si>
    <t>YGS003B2ML</t>
  </si>
  <si>
    <t>LIN-YGS003B2ML-ML</t>
  </si>
  <si>
    <t>lulu瑜伽运动短裤-3件套【黑绿灰】-L</t>
  </si>
  <si>
    <t>YGS003B3ML</t>
  </si>
  <si>
    <t>LIN-YGS003B3ML-ML</t>
  </si>
  <si>
    <t>lulu瑜伽运动短裤-3件套【黑绿灰】-XL</t>
  </si>
  <si>
    <t>YGS003B4ML</t>
  </si>
  <si>
    <t>LIN-YGS003B4ML-ML</t>
  </si>
  <si>
    <t>lulu瑜伽运动短裤-3件套【黑红蓝】-S</t>
  </si>
  <si>
    <t>YGS003C1ML</t>
  </si>
  <si>
    <t>LIN-YGS003C1ML-ML</t>
  </si>
  <si>
    <t>lulu瑜伽运动短裤-3件套【黑红蓝】-M</t>
  </si>
  <si>
    <t>YGS003C2ML</t>
  </si>
  <si>
    <t>LIN-YGS003C2ML-ML</t>
  </si>
  <si>
    <t>lulu瑜伽运动短裤-3件套【黑红蓝】-L</t>
  </si>
  <si>
    <t>YGS003C3ML</t>
  </si>
  <si>
    <t>LIN-YGS003C3ML-ML</t>
  </si>
  <si>
    <t>lulu瑜伽运动短裤-3件套【黑红蓝】-XL</t>
  </si>
  <si>
    <t>YGS003C4ML</t>
  </si>
  <si>
    <t>LIN-YGS003C4ML-ML</t>
  </si>
  <si>
    <t>MVP20260603-39</t>
  </si>
  <si>
    <t>CC260611863</t>
  </si>
  <si>
    <t>CC260612011</t>
  </si>
  <si>
    <t>CC260612193</t>
  </si>
  <si>
    <t>电子珠宝秤500g/0.01g</t>
  </si>
  <si>
    <t>KS003ML</t>
  </si>
  <si>
    <t>LIN-KS003ML-ML</t>
  </si>
  <si>
    <t>（带电）USB充电厨房秤10kg/1g-黑色</t>
  </si>
  <si>
    <t>KS004TBKML</t>
  </si>
  <si>
    <t>LIN-KS004TBKML-ML</t>
  </si>
  <si>
    <t>【带电】万圣节女巫幽灵挂件3件装</t>
  </si>
  <si>
    <t>YLG001ML</t>
  </si>
  <si>
    <t>LIN-YLG001ML-ML</t>
  </si>
  <si>
    <t>可重复使用电极垫【黑色】-44PCS</t>
  </si>
  <si>
    <t>EP001BKML</t>
  </si>
  <si>
    <t>LIN-EP001BKML-ML</t>
  </si>
  <si>
    <t>MVP20260709-64</t>
  </si>
  <si>
    <t>MVP20260709-65</t>
  </si>
  <si>
    <t>MVP20260709-66</t>
  </si>
  <si>
    <t>电子珠宝秤</t>
  </si>
  <si>
    <t>采购途中</t>
  </si>
  <si>
    <t>厨房秤-10kg</t>
  </si>
  <si>
    <t>圣诞牛皮纸袋21*11*27【配纹身贴】24 只装</t>
  </si>
  <si>
    <t>HHPB002ML</t>
  </si>
  <si>
    <t>LIN-HHPB002ML-ML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</si>
</sst>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#,##0_ ;[Red]\-#,##0\ "/>
  </numFmts>
  <fonts count="41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theme="3"/>
      <name val="微软雅黑"/>
      <charset val="134"/>
    </font>
    <font>
      <b/>
      <sz val="10"/>
      <color rgb="FF000000"/>
      <name val="微软雅黑"/>
      <charset val="134"/>
    </font>
    <font>
      <sz val="10"/>
      <name val="微软雅黑"/>
      <charset val="134"/>
    </font>
    <font>
      <sz val="10"/>
      <name val="Microsoft YaHei"/>
      <charset val="134"/>
    </font>
    <font>
      <sz val="11"/>
      <name val="宋体"/>
      <charset val="134"/>
    </font>
    <font>
      <sz val="10"/>
      <name val="宋体"/>
      <charset val="134"/>
      <scheme val="minor"/>
    </font>
    <font>
      <sz val="10"/>
      <color rgb="FF000000"/>
      <name val="Microsoft YaHei"/>
      <charset val="134"/>
    </font>
    <font>
      <sz val="10"/>
      <color rgb="FFFF0000"/>
      <name val="微软雅黑"/>
      <charset val="134"/>
    </font>
    <font>
      <sz val="9"/>
      <color rgb="FF000000"/>
      <name val="Microsoft YaHei"/>
      <charset val="134"/>
    </font>
    <font>
      <sz val="1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0"/>
      <name val="Arial"/>
      <charset val="134"/>
    </font>
    <font>
      <b/>
      <sz val="10"/>
      <color theme="8" tint="0.6"/>
      <name val="微软雅黑"/>
      <charset val="134"/>
    </font>
    <font>
      <sz val="8"/>
      <name val="微软雅黑"/>
      <charset val="134"/>
    </font>
    <font>
      <sz val="8"/>
      <color theme="1"/>
      <name val="微软雅黑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ADA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22" applyNumberFormat="0" applyAlignment="0" applyProtection="0">
      <alignment vertical="center"/>
    </xf>
    <xf numFmtId="0" fontId="29" fillId="10" borderId="23" applyNumberFormat="0" applyAlignment="0" applyProtection="0">
      <alignment vertical="center"/>
    </xf>
    <xf numFmtId="0" fontId="30" fillId="10" borderId="22" applyNumberFormat="0" applyAlignment="0" applyProtection="0">
      <alignment vertical="center"/>
    </xf>
    <xf numFmtId="0" fontId="31" fillId="11" borderId="24" applyNumberFormat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176" fontId="1" fillId="6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 applyProtection="1">
      <alignment horizontal="center" vertical="center"/>
    </xf>
    <xf numFmtId="14" fontId="5" fillId="0" borderId="3" xfId="0" applyNumberFormat="1" applyFont="1" applyFill="1" applyBorder="1" applyAlignment="1" applyProtection="1">
      <alignment horizontal="center" vertical="center"/>
    </xf>
    <xf numFmtId="14" fontId="5" fillId="0" borderId="4" xfId="0" applyNumberFormat="1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vertical="center"/>
    </xf>
    <xf numFmtId="0" fontId="5" fillId="0" borderId="1" xfId="0" applyFont="1" applyFill="1" applyBorder="1" applyAlignment="1" applyProtection="1">
      <alignment vertical="center"/>
    </xf>
    <xf numFmtId="14" fontId="6" fillId="0" borderId="5" xfId="0" applyNumberFormat="1" applyFont="1" applyFill="1" applyBorder="1" applyAlignment="1" applyProtection="1">
      <alignment horizontal="center" vertical="center"/>
    </xf>
    <xf numFmtId="14" fontId="6" fillId="0" borderId="6" xfId="0" applyNumberFormat="1" applyFont="1" applyFill="1" applyBorder="1" applyAlignment="1" applyProtection="1">
      <alignment horizontal="center" vertical="center"/>
    </xf>
    <xf numFmtId="14" fontId="6" fillId="0" borderId="7" xfId="0" applyNumberFormat="1" applyFont="1" applyFill="1" applyBorder="1" applyAlignment="1" applyProtection="1">
      <alignment horizontal="center" vertical="center"/>
    </xf>
    <xf numFmtId="0" fontId="7" fillId="0" borderId="5" xfId="0" applyFont="1" applyFill="1" applyBorder="1" applyAlignment="1" applyProtection="1">
      <alignment horizontal="center" vertical="center" wrapText="1"/>
    </xf>
    <xf numFmtId="0" fontId="6" fillId="0" borderId="5" xfId="0" applyFont="1" applyFill="1" applyBorder="1" applyAlignment="1" applyProtection="1">
      <alignment horizontal="center" vertical="center"/>
    </xf>
    <xf numFmtId="0" fontId="8" fillId="0" borderId="5" xfId="0" applyFont="1" applyFill="1" applyBorder="1" applyAlignment="1" applyProtection="1">
      <alignment vertical="center"/>
    </xf>
    <xf numFmtId="0" fontId="9" fillId="0" borderId="5" xfId="0" applyFont="1" applyFill="1" applyBorder="1" applyAlignment="1" applyProtection="1">
      <alignment horizontal="center" vertical="center"/>
    </xf>
    <xf numFmtId="0" fontId="7" fillId="0" borderId="5" xfId="0" applyFont="1" applyFill="1" applyBorder="1" applyAlignment="1" applyProtection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1" fillId="0" borderId="5" xfId="0" applyFont="1" applyFill="1" applyBorder="1" applyAlignment="1" applyProtection="1">
      <alignment horizontal="center" vertical="center"/>
    </xf>
    <xf numFmtId="0" fontId="9" fillId="0" borderId="0" xfId="0" applyFont="1" applyFill="1" applyAlignment="1">
      <alignment vertical="center"/>
    </xf>
    <xf numFmtId="0" fontId="12" fillId="0" borderId="5" xfId="0" applyFont="1" applyFill="1" applyBorder="1" applyAlignment="1" applyProtection="1">
      <alignment horizontal="center" vertical="center"/>
    </xf>
    <xf numFmtId="0" fontId="6" fillId="6" borderId="5" xfId="0" applyFont="1" applyFill="1" applyBorder="1" applyAlignment="1" applyProtection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vertical="center"/>
    </xf>
    <xf numFmtId="14" fontId="9" fillId="0" borderId="7" xfId="0" applyNumberFormat="1" applyFont="1" applyFill="1" applyBorder="1" applyAlignment="1" applyProtection="1">
      <alignment horizontal="center" vertical="center"/>
    </xf>
    <xf numFmtId="0" fontId="13" fillId="0" borderId="6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9" fillId="6" borderId="1" xfId="0" applyFont="1" applyFill="1" applyBorder="1" applyAlignment="1" applyProtection="1">
      <alignment horizontal="center" vertical="center"/>
    </xf>
    <xf numFmtId="14" fontId="6" fillId="0" borderId="1" xfId="0" applyNumberFormat="1" applyFont="1" applyFill="1" applyBorder="1" applyAlignment="1" applyProtection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14" fontId="6" fillId="6" borderId="5" xfId="0" applyNumberFormat="1" applyFont="1" applyFill="1" applyBorder="1" applyAlignment="1" applyProtection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14" fillId="0" borderId="6" xfId="0" applyFont="1" applyFill="1" applyBorder="1" applyAlignment="1" applyProtection="1">
      <alignment horizontal="center" vertical="center"/>
    </xf>
    <xf numFmtId="0" fontId="9" fillId="0" borderId="3" xfId="0" applyFont="1" applyFill="1" applyBorder="1" applyAlignment="1" applyProtection="1">
      <alignment horizontal="center" vertical="center"/>
    </xf>
    <xf numFmtId="14" fontId="9" fillId="0" borderId="4" xfId="0" applyNumberFormat="1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 applyProtection="1">
      <alignment vertical="center"/>
    </xf>
    <xf numFmtId="14" fontId="6" fillId="0" borderId="5" xfId="0" applyNumberFormat="1" applyFont="1" applyFill="1" applyBorder="1" applyAlignment="1" applyProtection="1">
      <alignment horizontal="left" vertical="center"/>
    </xf>
    <xf numFmtId="0" fontId="9" fillId="0" borderId="6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 applyProtection="1">
      <alignment vertical="center"/>
    </xf>
    <xf numFmtId="0" fontId="2" fillId="0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 applyProtection="1">
      <alignment vertical="center"/>
    </xf>
    <xf numFmtId="0" fontId="2" fillId="0" borderId="15" xfId="0" applyFont="1" applyFill="1" applyBorder="1" applyAlignment="1">
      <alignment horizontal="center" vertical="center"/>
    </xf>
    <xf numFmtId="0" fontId="5" fillId="0" borderId="5" xfId="0" applyFont="1" applyFill="1" applyBorder="1" applyAlignment="1" applyProtection="1">
      <alignment horizontal="center" vertical="center"/>
    </xf>
    <xf numFmtId="58" fontId="2" fillId="0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5" fillId="0" borderId="10" xfId="0" applyFont="1" applyFill="1" applyBorder="1" applyAlignment="1" applyProtection="1">
      <alignment horizontal="center" vertical="center"/>
    </xf>
    <xf numFmtId="0" fontId="8" fillId="0" borderId="12" xfId="0" applyFont="1" applyFill="1" applyBorder="1" applyAlignment="1" applyProtection="1">
      <alignment vertical="center"/>
    </xf>
    <xf numFmtId="0" fontId="8" fillId="0" borderId="14" xfId="0" applyFont="1" applyFill="1" applyBorder="1" applyAlignment="1" applyProtection="1">
      <alignment vertical="center"/>
    </xf>
    <xf numFmtId="0" fontId="8" fillId="0" borderId="0" xfId="0" applyFont="1" applyFill="1" applyAlignment="1">
      <alignment horizontal="center" vertical="center"/>
    </xf>
    <xf numFmtId="0" fontId="15" fillId="0" borderId="5" xfId="0" applyFont="1" applyFill="1" applyBorder="1" applyAlignment="1" applyProtection="1">
      <alignment horizontal="center" vertical="center"/>
    </xf>
    <xf numFmtId="14" fontId="9" fillId="0" borderId="16" xfId="0" applyNumberFormat="1" applyFont="1" applyFill="1" applyBorder="1" applyAlignment="1" applyProtection="1">
      <alignment horizontal="center" vertical="center"/>
    </xf>
    <xf numFmtId="0" fontId="9" fillId="0" borderId="8" xfId="0" applyFont="1" applyFill="1" applyBorder="1" applyAlignment="1" applyProtection="1">
      <alignment horizontal="center" vertical="center"/>
    </xf>
    <xf numFmtId="14" fontId="6" fillId="0" borderId="16" xfId="0" applyNumberFormat="1" applyFont="1" applyFill="1" applyBorder="1" applyAlignment="1" applyProtection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 applyProtection="1">
      <alignment horizontal="center" vertical="center"/>
    </xf>
    <xf numFmtId="0" fontId="5" fillId="0" borderId="7" xfId="0" applyFont="1" applyFill="1" applyBorder="1" applyAlignment="1" applyProtection="1">
      <alignment horizontal="center" vertical="center"/>
    </xf>
    <xf numFmtId="14" fontId="6" fillId="0" borderId="10" xfId="0" applyNumberFormat="1" applyFont="1" applyFill="1" applyBorder="1" applyAlignment="1" applyProtection="1">
      <alignment horizontal="left" vertical="center"/>
    </xf>
    <xf numFmtId="14" fontId="6" fillId="0" borderId="10" xfId="0" applyNumberFormat="1" applyFont="1" applyFill="1" applyBorder="1" applyAlignment="1" applyProtection="1">
      <alignment horizontal="center" vertical="center"/>
    </xf>
    <xf numFmtId="0" fontId="9" fillId="0" borderId="18" xfId="0" applyFont="1" applyFill="1" applyBorder="1" applyAlignment="1" applyProtection="1">
      <alignment horizontal="center" vertical="center"/>
    </xf>
    <xf numFmtId="0" fontId="5" fillId="0" borderId="16" xfId="0" applyFont="1" applyFill="1" applyBorder="1" applyAlignment="1" applyProtection="1">
      <alignment horizontal="center" vertical="center"/>
    </xf>
    <xf numFmtId="0" fontId="16" fillId="2" borderId="1" xfId="0" applyFont="1" applyFill="1" applyBorder="1" applyAlignment="1" applyProtection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0" fontId="17" fillId="7" borderId="1" xfId="0" applyFont="1" applyFill="1" applyBorder="1" applyAlignment="1" applyProtection="1">
      <alignment horizontal="center" vertical="center"/>
    </xf>
    <xf numFmtId="0" fontId="0" fillId="0" borderId="1" xfId="0" applyFill="1" applyBorder="1" applyAlignment="1">
      <alignment vertical="center"/>
    </xf>
    <xf numFmtId="177" fontId="19" fillId="7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2"/>
        </patternFill>
      </fill>
    </dxf>
    <dxf>
      <font>
        <color rgb="FF9C0006"/>
      </font>
    </dxf>
    <dxf>
      <fill>
        <patternFill patternType="solid">
          <bgColor theme="8"/>
        </patternFill>
      </fill>
    </dxf>
    <dxf>
      <font>
        <color theme="4"/>
      </font>
    </dxf>
    <dxf>
      <fill>
        <patternFill patternType="solid">
          <bgColor theme="8"/>
        </patternFill>
      </fill>
    </dxf>
    <dxf>
      <fill>
        <patternFill patternType="solid">
          <bgColor theme="6" tint="-0.2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15"/>
        </patternFill>
      </fill>
    </dxf>
    <dxf>
      <fill>
        <patternFill patternType="solid">
          <bgColor theme="0" tint="-0.25"/>
        </patternFill>
      </fill>
    </dxf>
    <dxf>
      <font>
        <b val="1"/>
        <i val="0"/>
      </font>
      <fill>
        <patternFill patternType="solid">
          <bgColor theme="8" tint="0.8"/>
        </patternFill>
      </fill>
    </dxf>
    <dxf>
      <fill>
        <patternFill patternType="solid">
          <bgColor theme="1" tint="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J1048571"/>
  <sheetViews>
    <sheetView tabSelected="1" zoomScale="85" zoomScaleNormal="85" workbookViewId="0">
      <selection activeCell="K4" sqref="K4"/>
    </sheetView>
  </sheetViews>
  <sheetFormatPr defaultColWidth="9" defaultRowHeight="16.5"/>
  <cols>
    <col min="1" max="12" width="9" style="2"/>
    <col min="13" max="13" width="11" style="2"/>
    <col min="14" max="14" width="11" style="7"/>
    <col min="15" max="15" width="9" style="2"/>
    <col min="16" max="16" width="11" style="7"/>
    <col min="17" max="16361" width="9" style="2"/>
  </cols>
  <sheetData>
    <row r="1" s="1" customFormat="1" ht="33" spans="1:242 16362:16364">
      <c r="A1" s="8" t="s">
        <v>0</v>
      </c>
      <c r="B1" s="8" t="s">
        <v>1</v>
      </c>
      <c r="C1" s="9" t="s">
        <v>2</v>
      </c>
      <c r="D1" s="8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3" t="s">
        <v>13</v>
      </c>
      <c r="O1" s="11" t="s">
        <v>14</v>
      </c>
      <c r="P1" s="14" t="s">
        <v>15</v>
      </c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XEH1"/>
      <c r="XEI1"/>
      <c r="XEJ1"/>
    </row>
    <row r="2" s="2" customFormat="1" spans="1:242 16362:16364">
      <c r="A2" s="16" t="s">
        <v>16</v>
      </c>
      <c r="B2" s="16" t="s">
        <v>17</v>
      </c>
      <c r="C2" s="17" t="s">
        <v>18</v>
      </c>
      <c r="E2" s="18" t="s">
        <v>19</v>
      </c>
      <c r="F2" s="19" t="s">
        <v>20</v>
      </c>
      <c r="G2" s="19">
        <v>46722001</v>
      </c>
      <c r="H2" s="2" t="s">
        <v>21</v>
      </c>
      <c r="I2" s="2" t="s">
        <v>22</v>
      </c>
      <c r="J2" s="19">
        <v>780</v>
      </c>
      <c r="K2" s="16" t="s">
        <v>23</v>
      </c>
      <c r="L2" s="16" t="s">
        <v>24</v>
      </c>
      <c r="M2" s="16">
        <v>45841</v>
      </c>
      <c r="N2" s="7"/>
      <c r="O2" s="2">
        <v>-45841</v>
      </c>
      <c r="P2" s="7">
        <f>M2+50</f>
        <v>45891</v>
      </c>
      <c r="XEH2"/>
      <c r="XEI2"/>
      <c r="XEJ2"/>
    </row>
    <row r="3" s="2" customFormat="1" spans="1:242 16362:16364">
      <c r="A3" s="16" t="s">
        <v>25</v>
      </c>
      <c r="B3" s="16" t="s">
        <v>26</v>
      </c>
      <c r="C3" s="17" t="s">
        <v>27</v>
      </c>
      <c r="E3" s="18" t="s">
        <v>19</v>
      </c>
      <c r="F3" s="19" t="s">
        <v>28</v>
      </c>
      <c r="G3" s="19">
        <v>46735532</v>
      </c>
      <c r="H3" s="2" t="s">
        <v>21</v>
      </c>
      <c r="I3" s="2" t="s">
        <v>22</v>
      </c>
      <c r="J3" s="19">
        <v>504</v>
      </c>
      <c r="K3" s="16" t="s">
        <v>23</v>
      </c>
      <c r="L3" s="16" t="s">
        <v>24</v>
      </c>
      <c r="M3" s="16">
        <v>45841</v>
      </c>
      <c r="N3" s="7"/>
      <c r="O3" s="2">
        <v>-45841</v>
      </c>
      <c r="P3" s="7">
        <f t="shared" ref="P3:P34" si="0">M3+50</f>
        <v>45891</v>
      </c>
      <c r="XEH3"/>
      <c r="XEI3"/>
      <c r="XEJ3"/>
    </row>
    <row r="4" s="2" customFormat="1" spans="1:242 16362:16364">
      <c r="A4" s="16" t="s">
        <v>29</v>
      </c>
      <c r="B4" s="16" t="s">
        <v>30</v>
      </c>
      <c r="C4" s="17" t="s">
        <v>31</v>
      </c>
      <c r="E4" s="18" t="s">
        <v>19</v>
      </c>
      <c r="F4" s="19" t="s">
        <v>32</v>
      </c>
      <c r="G4" s="19">
        <v>46740092</v>
      </c>
      <c r="H4" s="2" t="s">
        <v>21</v>
      </c>
      <c r="I4" s="2" t="s">
        <v>22</v>
      </c>
      <c r="J4" s="19">
        <v>600</v>
      </c>
      <c r="K4" s="16" t="s">
        <v>23</v>
      </c>
      <c r="L4" s="16" t="s">
        <v>24</v>
      </c>
      <c r="M4" s="16">
        <v>45841</v>
      </c>
      <c r="N4" s="7"/>
      <c r="O4" s="2">
        <v>-45841</v>
      </c>
      <c r="P4" s="7">
        <f t="shared" si="0"/>
        <v>45891</v>
      </c>
      <c r="XEH4"/>
      <c r="XEI4"/>
      <c r="XEJ4"/>
    </row>
    <row r="5" s="2" customFormat="1" spans="1:242 16362:16364">
      <c r="A5" s="16" t="s">
        <v>33</v>
      </c>
      <c r="B5" s="16" t="s">
        <v>34</v>
      </c>
      <c r="C5" s="17" t="s">
        <v>35</v>
      </c>
      <c r="E5" s="18" t="s">
        <v>19</v>
      </c>
      <c r="F5" s="19" t="s">
        <v>36</v>
      </c>
      <c r="G5" s="19">
        <v>46773905</v>
      </c>
      <c r="H5" s="2" t="s">
        <v>21</v>
      </c>
      <c r="I5" s="2" t="s">
        <v>22</v>
      </c>
      <c r="J5" s="19">
        <v>600</v>
      </c>
      <c r="K5" s="16" t="s">
        <v>23</v>
      </c>
      <c r="L5" s="16" t="s">
        <v>24</v>
      </c>
      <c r="M5" s="16">
        <v>45841</v>
      </c>
      <c r="N5" s="7"/>
      <c r="O5" s="2">
        <v>-45841</v>
      </c>
      <c r="P5" s="7">
        <f t="shared" si="0"/>
        <v>45891</v>
      </c>
      <c r="XEH5"/>
      <c r="XEI5"/>
      <c r="XEJ5"/>
    </row>
    <row r="6" s="2" customFormat="1" spans="1:242 16362:16364">
      <c r="A6" s="16" t="s">
        <v>37</v>
      </c>
      <c r="B6" s="16" t="s">
        <v>38</v>
      </c>
      <c r="C6" s="17" t="s">
        <v>39</v>
      </c>
      <c r="E6" s="18" t="s">
        <v>19</v>
      </c>
      <c r="F6" s="19" t="s">
        <v>40</v>
      </c>
      <c r="G6" s="19">
        <v>46774208</v>
      </c>
      <c r="H6" s="2" t="s">
        <v>21</v>
      </c>
      <c r="I6" s="2" t="s">
        <v>22</v>
      </c>
      <c r="J6" s="19">
        <v>600</v>
      </c>
      <c r="K6" s="16" t="s">
        <v>23</v>
      </c>
      <c r="L6" s="16" t="s">
        <v>24</v>
      </c>
      <c r="M6" s="16">
        <v>45841</v>
      </c>
      <c r="N6" s="7"/>
      <c r="O6" s="2">
        <v>-45841</v>
      </c>
      <c r="P6" s="7">
        <f t="shared" si="0"/>
        <v>45891</v>
      </c>
      <c r="XEH6"/>
      <c r="XEI6"/>
      <c r="XEJ6"/>
    </row>
    <row r="7" s="2" customFormat="1" spans="1:242 16362:16364">
      <c r="A7" s="16" t="s">
        <v>41</v>
      </c>
      <c r="B7" s="16" t="s">
        <v>42</v>
      </c>
      <c r="C7" s="17" t="s">
        <v>43</v>
      </c>
      <c r="E7" s="18" t="s">
        <v>19</v>
      </c>
      <c r="F7" s="19" t="s">
        <v>44</v>
      </c>
      <c r="G7" s="19">
        <v>47557170</v>
      </c>
      <c r="H7" s="2" t="s">
        <v>21</v>
      </c>
      <c r="I7" s="2" t="s">
        <v>22</v>
      </c>
      <c r="J7" s="19">
        <v>200</v>
      </c>
      <c r="K7" s="16" t="s">
        <v>23</v>
      </c>
      <c r="L7" s="16" t="s">
        <v>24</v>
      </c>
      <c r="M7" s="16">
        <v>45879</v>
      </c>
      <c r="N7" s="7"/>
      <c r="O7" s="2">
        <v>-45879</v>
      </c>
      <c r="P7" s="7">
        <f t="shared" si="0"/>
        <v>45929</v>
      </c>
      <c r="XEH7"/>
      <c r="XEI7"/>
      <c r="XEJ7"/>
    </row>
    <row r="8" s="2" customFormat="1" spans="1:242 16362:16364">
      <c r="A8" s="16" t="s">
        <v>45</v>
      </c>
      <c r="B8" s="16" t="s">
        <v>46</v>
      </c>
      <c r="C8" s="17" t="s">
        <v>47</v>
      </c>
      <c r="E8" s="18" t="s">
        <v>19</v>
      </c>
      <c r="F8" s="19"/>
      <c r="G8" s="19">
        <v>47557170</v>
      </c>
      <c r="H8" s="2" t="s">
        <v>21</v>
      </c>
      <c r="I8" s="2" t="s">
        <v>22</v>
      </c>
      <c r="J8" s="19">
        <v>150</v>
      </c>
      <c r="K8" s="16" t="s">
        <v>23</v>
      </c>
      <c r="L8" s="16" t="s">
        <v>24</v>
      </c>
      <c r="M8" s="16">
        <v>45879</v>
      </c>
      <c r="N8" s="7"/>
      <c r="O8" s="2">
        <v>-45879</v>
      </c>
      <c r="P8" s="7">
        <f t="shared" si="0"/>
        <v>45929</v>
      </c>
      <c r="XEH8"/>
      <c r="XEI8"/>
      <c r="XEJ8"/>
    </row>
    <row r="9" s="2" customFormat="1" spans="1:242 16362:16364">
      <c r="A9" s="16" t="s">
        <v>48</v>
      </c>
      <c r="B9" s="16" t="s">
        <v>49</v>
      </c>
      <c r="C9" s="17" t="s">
        <v>50</v>
      </c>
      <c r="E9" s="18" t="s">
        <v>19</v>
      </c>
      <c r="F9" s="19"/>
      <c r="G9" s="19">
        <v>47557170</v>
      </c>
      <c r="H9" s="2" t="s">
        <v>21</v>
      </c>
      <c r="I9" s="2" t="s">
        <v>22</v>
      </c>
      <c r="J9" s="19">
        <v>150</v>
      </c>
      <c r="K9" s="16" t="s">
        <v>23</v>
      </c>
      <c r="L9" s="16" t="s">
        <v>24</v>
      </c>
      <c r="M9" s="16">
        <v>45879</v>
      </c>
      <c r="N9" s="7"/>
      <c r="O9" s="2">
        <v>-45879</v>
      </c>
      <c r="P9" s="7">
        <f t="shared" si="0"/>
        <v>45929</v>
      </c>
      <c r="XEH9"/>
      <c r="XEI9"/>
      <c r="XEJ9"/>
    </row>
    <row r="10" s="2" customFormat="1" spans="1:242 16362:16364">
      <c r="A10" s="16" t="s">
        <v>51</v>
      </c>
      <c r="B10" s="16" t="s">
        <v>52</v>
      </c>
      <c r="C10" s="17" t="s">
        <v>53</v>
      </c>
      <c r="D10" s="19"/>
      <c r="E10" s="18" t="s">
        <v>19</v>
      </c>
      <c r="F10" s="19"/>
      <c r="G10" s="19">
        <v>48837927</v>
      </c>
      <c r="H10" s="2" t="s">
        <v>54</v>
      </c>
      <c r="I10" s="2">
        <v>0</v>
      </c>
      <c r="J10" s="2">
        <v>0</v>
      </c>
      <c r="K10" s="16" t="s">
        <v>55</v>
      </c>
      <c r="L10" s="16" t="s">
        <v>56</v>
      </c>
      <c r="M10" s="20">
        <v>45875</v>
      </c>
      <c r="N10" s="7">
        <v>45891</v>
      </c>
      <c r="O10" s="2">
        <v>16</v>
      </c>
      <c r="P10" s="7">
        <f t="shared" si="0"/>
        <v>45925</v>
      </c>
      <c r="XEH10"/>
      <c r="XEI10"/>
      <c r="XEJ10"/>
    </row>
    <row r="11" s="3" customFormat="1" spans="1:242 16362:16364">
      <c r="A11" s="16" t="s">
        <v>16</v>
      </c>
      <c r="B11" s="16" t="s">
        <v>17</v>
      </c>
      <c r="C11" s="17" t="s">
        <v>18</v>
      </c>
      <c r="E11" s="18" t="s">
        <v>19</v>
      </c>
      <c r="F11" s="19">
        <v>5660042814</v>
      </c>
      <c r="G11" s="19">
        <v>52193025</v>
      </c>
      <c r="H11" s="2" t="s">
        <v>54</v>
      </c>
      <c r="I11" s="19">
        <v>0</v>
      </c>
      <c r="J11" s="19">
        <v>0</v>
      </c>
      <c r="K11" s="19" t="s">
        <v>57</v>
      </c>
      <c r="L11" s="16" t="s">
        <v>58</v>
      </c>
      <c r="M11" s="16">
        <v>45933</v>
      </c>
      <c r="N11" s="7">
        <v>45994</v>
      </c>
      <c r="O11" s="2">
        <v>61</v>
      </c>
      <c r="P11" s="7">
        <f t="shared" si="0"/>
        <v>45983</v>
      </c>
      <c r="XEH11"/>
      <c r="XEI11"/>
      <c r="XEJ11"/>
    </row>
    <row r="12" s="3" customFormat="1" spans="1:242 16362:16364">
      <c r="A12" s="16" t="s">
        <v>59</v>
      </c>
      <c r="B12" s="16" t="s">
        <v>60</v>
      </c>
      <c r="C12" s="17" t="s">
        <v>61</v>
      </c>
      <c r="E12" s="18" t="s">
        <v>19</v>
      </c>
      <c r="F12" s="21"/>
      <c r="G12" s="19">
        <v>54118213</v>
      </c>
      <c r="H12" s="2" t="s">
        <v>54</v>
      </c>
      <c r="I12" s="19">
        <v>0</v>
      </c>
      <c r="J12" s="19">
        <v>0</v>
      </c>
      <c r="K12" s="2" t="s">
        <v>62</v>
      </c>
      <c r="L12" s="2" t="s">
        <v>63</v>
      </c>
      <c r="M12" s="16">
        <v>45960</v>
      </c>
      <c r="N12" s="7">
        <v>46022</v>
      </c>
      <c r="O12" s="2">
        <v>62</v>
      </c>
      <c r="P12" s="7">
        <f t="shared" si="0"/>
        <v>46010</v>
      </c>
      <c r="XEH12"/>
      <c r="XEI12"/>
      <c r="XEJ12"/>
    </row>
    <row r="13" s="3" customFormat="1" spans="1:242 16362:16364">
      <c r="A13" s="16" t="s">
        <v>64</v>
      </c>
      <c r="B13" s="16" t="s">
        <v>65</v>
      </c>
      <c r="C13" s="17" t="s">
        <v>66</v>
      </c>
      <c r="E13" s="18" t="s">
        <v>19</v>
      </c>
      <c r="F13" s="22"/>
      <c r="G13" s="19">
        <v>54118899</v>
      </c>
      <c r="H13" s="2" t="s">
        <v>54</v>
      </c>
      <c r="I13" s="19">
        <v>0</v>
      </c>
      <c r="J13" s="19">
        <v>0</v>
      </c>
      <c r="K13" s="2" t="s">
        <v>62</v>
      </c>
      <c r="L13" s="2" t="s">
        <v>63</v>
      </c>
      <c r="M13" s="16">
        <v>45960</v>
      </c>
      <c r="N13" s="7">
        <v>46022</v>
      </c>
      <c r="O13" s="2">
        <v>62</v>
      </c>
      <c r="P13" s="7">
        <f t="shared" si="0"/>
        <v>46010</v>
      </c>
      <c r="XEH13"/>
      <c r="XEI13"/>
      <c r="XEJ13"/>
    </row>
    <row r="14" s="3" customFormat="1" spans="1:242 16362:16364">
      <c r="A14" s="16" t="s">
        <v>67</v>
      </c>
      <c r="B14" s="16" t="s">
        <v>68</v>
      </c>
      <c r="C14" s="17" t="s">
        <v>69</v>
      </c>
      <c r="E14" s="18" t="s">
        <v>19</v>
      </c>
      <c r="F14" s="19" t="s">
        <v>70</v>
      </c>
      <c r="G14" s="19">
        <v>54116534</v>
      </c>
      <c r="H14" s="2" t="s">
        <v>71</v>
      </c>
      <c r="I14" s="19">
        <v>0</v>
      </c>
      <c r="J14" s="19">
        <v>0</v>
      </c>
      <c r="K14" s="2" t="s">
        <v>62</v>
      </c>
      <c r="L14" s="2" t="s">
        <v>63</v>
      </c>
      <c r="M14" s="16">
        <v>45960</v>
      </c>
      <c r="N14" s="7">
        <v>46022</v>
      </c>
      <c r="O14" s="2">
        <v>62</v>
      </c>
      <c r="P14" s="7">
        <f t="shared" si="0"/>
        <v>46010</v>
      </c>
      <c r="XEH14"/>
      <c r="XEI14"/>
      <c r="XEJ14"/>
    </row>
    <row r="15" s="3" customFormat="1" spans="1:242 16362:16364">
      <c r="A15" s="16" t="s">
        <v>72</v>
      </c>
      <c r="B15" s="16" t="s">
        <v>73</v>
      </c>
      <c r="C15" s="17" t="s">
        <v>74</v>
      </c>
      <c r="E15" s="18" t="s">
        <v>19</v>
      </c>
      <c r="F15" s="22"/>
      <c r="G15" s="19">
        <v>54116534</v>
      </c>
      <c r="H15" s="2" t="s">
        <v>71</v>
      </c>
      <c r="I15" s="19">
        <v>0</v>
      </c>
      <c r="J15" s="19">
        <v>0</v>
      </c>
      <c r="K15" s="2" t="s">
        <v>62</v>
      </c>
      <c r="L15" s="2" t="s">
        <v>63</v>
      </c>
      <c r="M15" s="16">
        <v>45960</v>
      </c>
      <c r="N15" s="7">
        <v>46022</v>
      </c>
      <c r="O15" s="2">
        <v>62</v>
      </c>
      <c r="P15" s="7">
        <f t="shared" si="0"/>
        <v>46010</v>
      </c>
      <c r="XEH15"/>
      <c r="XEI15"/>
      <c r="XEJ15"/>
    </row>
    <row r="16" s="3" customFormat="1" spans="1:242 16362:16364">
      <c r="A16" s="16" t="s">
        <v>51</v>
      </c>
      <c r="B16" s="16" t="s">
        <v>52</v>
      </c>
      <c r="C16" s="17" t="s">
        <v>53</v>
      </c>
      <c r="E16" s="18" t="s">
        <v>19</v>
      </c>
      <c r="F16" s="22"/>
      <c r="G16" s="19">
        <v>54116534</v>
      </c>
      <c r="H16" s="2" t="s">
        <v>71</v>
      </c>
      <c r="I16" s="19">
        <v>0</v>
      </c>
      <c r="J16" s="19">
        <v>0</v>
      </c>
      <c r="K16" s="2" t="s">
        <v>62</v>
      </c>
      <c r="L16" s="2" t="s">
        <v>63</v>
      </c>
      <c r="M16" s="16">
        <v>45960</v>
      </c>
      <c r="N16" s="7">
        <v>46022</v>
      </c>
      <c r="O16" s="2">
        <v>62</v>
      </c>
      <c r="P16" s="7">
        <f t="shared" si="0"/>
        <v>46010</v>
      </c>
      <c r="XEH16"/>
      <c r="XEI16"/>
      <c r="XEJ16"/>
    </row>
    <row r="17" s="2" customFormat="1" spans="1:16 16362:16364">
      <c r="A17" s="16" t="s">
        <v>75</v>
      </c>
      <c r="B17" s="16" t="s">
        <v>76</v>
      </c>
      <c r="C17" s="17" t="s">
        <v>77</v>
      </c>
      <c r="E17" s="18" t="s">
        <v>19</v>
      </c>
      <c r="F17" s="19">
        <v>5660048133</v>
      </c>
      <c r="G17" s="19">
        <v>55091587</v>
      </c>
      <c r="H17" s="2" t="s">
        <v>71</v>
      </c>
      <c r="I17" s="19">
        <v>80</v>
      </c>
      <c r="J17" s="19">
        <v>80</v>
      </c>
      <c r="K17" s="2" t="s">
        <v>57</v>
      </c>
      <c r="L17" s="16" t="s">
        <v>58</v>
      </c>
      <c r="M17" s="16">
        <v>45975</v>
      </c>
      <c r="N17" s="7">
        <v>46064</v>
      </c>
      <c r="O17" s="2">
        <v>89</v>
      </c>
      <c r="P17" s="7">
        <f t="shared" si="0"/>
        <v>46025</v>
      </c>
      <c r="XEH17"/>
      <c r="XEI17"/>
      <c r="XEJ17"/>
    </row>
    <row r="18" s="2" customFormat="1" spans="1:16 16362:16364">
      <c r="A18" s="16" t="s">
        <v>78</v>
      </c>
      <c r="B18" s="16" t="s">
        <v>79</v>
      </c>
      <c r="C18" s="17" t="s">
        <v>80</v>
      </c>
      <c r="E18" s="18" t="s">
        <v>19</v>
      </c>
      <c r="F18" s="22"/>
      <c r="G18" s="19">
        <v>55091587</v>
      </c>
      <c r="H18" s="2" t="s">
        <v>71</v>
      </c>
      <c r="I18" s="19">
        <v>120</v>
      </c>
      <c r="J18" s="19">
        <v>120</v>
      </c>
      <c r="K18" s="2" t="s">
        <v>57</v>
      </c>
      <c r="L18" s="16" t="s">
        <v>58</v>
      </c>
      <c r="M18" s="16">
        <v>45975</v>
      </c>
      <c r="N18" s="7">
        <v>46064</v>
      </c>
      <c r="O18" s="2">
        <v>89</v>
      </c>
      <c r="P18" s="7">
        <f t="shared" si="0"/>
        <v>46025</v>
      </c>
      <c r="XEH18"/>
      <c r="XEI18"/>
      <c r="XEJ18"/>
    </row>
    <row r="19" s="2" customFormat="1" spans="1:16 16362:16364">
      <c r="A19" s="16" t="s">
        <v>81</v>
      </c>
      <c r="B19" s="16" t="s">
        <v>82</v>
      </c>
      <c r="C19" s="17" t="s">
        <v>83</v>
      </c>
      <c r="E19" s="18" t="s">
        <v>19</v>
      </c>
      <c r="F19" s="22"/>
      <c r="G19" s="19">
        <v>55091587</v>
      </c>
      <c r="H19" s="2" t="s">
        <v>71</v>
      </c>
      <c r="I19" s="19">
        <v>40</v>
      </c>
      <c r="J19" s="19">
        <v>40</v>
      </c>
      <c r="K19" s="2" t="s">
        <v>57</v>
      </c>
      <c r="L19" s="16" t="s">
        <v>58</v>
      </c>
      <c r="M19" s="16">
        <v>45975</v>
      </c>
      <c r="N19" s="7">
        <v>46064</v>
      </c>
      <c r="O19" s="2">
        <v>89</v>
      </c>
      <c r="P19" s="7">
        <f t="shared" si="0"/>
        <v>46025</v>
      </c>
      <c r="XEH19"/>
      <c r="XEI19"/>
      <c r="XEJ19"/>
    </row>
    <row r="20" s="2" customFormat="1" spans="1:16 16362:16364">
      <c r="A20" s="16" t="s">
        <v>84</v>
      </c>
      <c r="B20" s="16" t="s">
        <v>85</v>
      </c>
      <c r="C20" s="17" t="s">
        <v>86</v>
      </c>
      <c r="E20" s="18" t="s">
        <v>19</v>
      </c>
      <c r="F20" s="22"/>
      <c r="G20" s="19">
        <v>55091587</v>
      </c>
      <c r="H20" s="2" t="s">
        <v>71</v>
      </c>
      <c r="I20" s="19">
        <v>40</v>
      </c>
      <c r="J20" s="19">
        <v>40</v>
      </c>
      <c r="K20" s="2" t="s">
        <v>57</v>
      </c>
      <c r="L20" s="16" t="s">
        <v>58</v>
      </c>
      <c r="M20" s="16">
        <v>45975</v>
      </c>
      <c r="N20" s="7">
        <v>46064</v>
      </c>
      <c r="O20" s="2">
        <v>89</v>
      </c>
      <c r="P20" s="7">
        <f t="shared" si="0"/>
        <v>46025</v>
      </c>
      <c r="XEH20"/>
      <c r="XEI20"/>
      <c r="XEJ20"/>
    </row>
    <row r="21" s="2" customFormat="1" spans="1:16 16362:16364">
      <c r="A21" s="23" t="s">
        <v>87</v>
      </c>
      <c r="B21" s="23" t="s">
        <v>88</v>
      </c>
      <c r="C21" s="24" t="s">
        <v>89</v>
      </c>
      <c r="E21" s="25" t="s">
        <v>19</v>
      </c>
      <c r="F21" s="26" t="s">
        <v>90</v>
      </c>
      <c r="G21" s="27">
        <v>60604741</v>
      </c>
      <c r="H21" s="2" t="s">
        <v>91</v>
      </c>
      <c r="I21" s="27">
        <v>50</v>
      </c>
      <c r="J21" s="27">
        <v>50</v>
      </c>
      <c r="K21" s="27" t="s">
        <v>92</v>
      </c>
      <c r="L21" s="23" t="s">
        <v>63</v>
      </c>
      <c r="M21" s="23">
        <v>46069</v>
      </c>
      <c r="N21" s="7">
        <v>46120</v>
      </c>
      <c r="O21" s="2">
        <v>51</v>
      </c>
      <c r="P21" s="7">
        <f t="shared" si="0"/>
        <v>46119</v>
      </c>
      <c r="XEH21"/>
      <c r="XEI21"/>
      <c r="XEJ21"/>
    </row>
    <row r="22" s="2" customFormat="1" spans="1:16 16362:16364">
      <c r="A22" s="23" t="s">
        <v>93</v>
      </c>
      <c r="B22" s="23" t="s">
        <v>94</v>
      </c>
      <c r="C22" s="24" t="s">
        <v>95</v>
      </c>
      <c r="E22" s="25" t="s">
        <v>19</v>
      </c>
      <c r="F22" s="28"/>
      <c r="G22" s="27">
        <v>60604741</v>
      </c>
      <c r="H22" s="2" t="s">
        <v>91</v>
      </c>
      <c r="I22" s="27">
        <v>50</v>
      </c>
      <c r="J22" s="27">
        <v>50</v>
      </c>
      <c r="K22" s="27" t="s">
        <v>92</v>
      </c>
      <c r="L22" s="23" t="s">
        <v>63</v>
      </c>
      <c r="M22" s="23">
        <v>46069</v>
      </c>
      <c r="N22" s="7">
        <v>46120</v>
      </c>
      <c r="O22" s="2">
        <v>51</v>
      </c>
      <c r="P22" s="7">
        <f t="shared" si="0"/>
        <v>46119</v>
      </c>
      <c r="XEH22"/>
      <c r="XEI22"/>
      <c r="XEJ22"/>
    </row>
    <row r="23" s="2" customFormat="1" spans="1:16 16362:16364">
      <c r="A23" s="23" t="s">
        <v>96</v>
      </c>
      <c r="B23" s="23" t="s">
        <v>97</v>
      </c>
      <c r="C23" s="24" t="s">
        <v>98</v>
      </c>
      <c r="E23" s="25" t="s">
        <v>19</v>
      </c>
      <c r="F23" s="28"/>
      <c r="G23" s="27">
        <v>60604741</v>
      </c>
      <c r="H23" s="2" t="s">
        <v>91</v>
      </c>
      <c r="I23" s="27">
        <v>100</v>
      </c>
      <c r="J23" s="27">
        <v>100</v>
      </c>
      <c r="K23" s="27" t="s">
        <v>92</v>
      </c>
      <c r="L23" s="23" t="s">
        <v>63</v>
      </c>
      <c r="M23" s="23">
        <v>46069</v>
      </c>
      <c r="N23" s="7">
        <v>46120</v>
      </c>
      <c r="O23" s="2">
        <v>51</v>
      </c>
      <c r="P23" s="7">
        <f t="shared" si="0"/>
        <v>46119</v>
      </c>
      <c r="XEH23"/>
      <c r="XEI23"/>
      <c r="XEJ23"/>
    </row>
    <row r="24" s="2" customFormat="1" spans="1:16 16362:16364">
      <c r="A24" s="23" t="s">
        <v>99</v>
      </c>
      <c r="B24" s="23" t="s">
        <v>100</v>
      </c>
      <c r="C24" s="24" t="s">
        <v>101</v>
      </c>
      <c r="E24" s="25" t="s">
        <v>19</v>
      </c>
      <c r="F24" s="28"/>
      <c r="G24" s="27">
        <v>60604741</v>
      </c>
      <c r="H24" s="2" t="s">
        <v>91</v>
      </c>
      <c r="I24" s="27">
        <v>100</v>
      </c>
      <c r="J24" s="27">
        <v>100</v>
      </c>
      <c r="K24" s="27" t="s">
        <v>92</v>
      </c>
      <c r="L24" s="23" t="s">
        <v>63</v>
      </c>
      <c r="M24" s="23">
        <v>46069</v>
      </c>
      <c r="N24" s="7">
        <v>46120</v>
      </c>
      <c r="O24" s="2">
        <v>51</v>
      </c>
      <c r="P24" s="7">
        <f t="shared" si="0"/>
        <v>46119</v>
      </c>
      <c r="XEH24"/>
      <c r="XEI24"/>
      <c r="XEJ24"/>
    </row>
    <row r="25" s="2" customFormat="1" spans="1:16 16362:16364">
      <c r="A25" s="23" t="s">
        <v>102</v>
      </c>
      <c r="B25" s="23" t="s">
        <v>103</v>
      </c>
      <c r="C25" s="24" t="s">
        <v>104</v>
      </c>
      <c r="E25" s="25" t="s">
        <v>19</v>
      </c>
      <c r="F25" s="26" t="s">
        <v>105</v>
      </c>
      <c r="G25" s="27">
        <v>60605427</v>
      </c>
      <c r="H25" s="2" t="s">
        <v>106</v>
      </c>
      <c r="I25" s="27">
        <v>50</v>
      </c>
      <c r="J25" s="27">
        <v>50</v>
      </c>
      <c r="K25" s="27" t="s">
        <v>92</v>
      </c>
      <c r="L25" s="23" t="s">
        <v>63</v>
      </c>
      <c r="M25" s="23">
        <v>46069</v>
      </c>
      <c r="N25" s="7">
        <v>46120</v>
      </c>
      <c r="O25" s="2">
        <v>51</v>
      </c>
      <c r="P25" s="7">
        <f t="shared" si="0"/>
        <v>46119</v>
      </c>
      <c r="XEH25"/>
      <c r="XEI25"/>
      <c r="XEJ25"/>
    </row>
    <row r="26" s="2" customFormat="1" spans="1:16 16362:16364">
      <c r="A26" s="23" t="s">
        <v>107</v>
      </c>
      <c r="B26" s="23" t="s">
        <v>108</v>
      </c>
      <c r="C26" s="24" t="s">
        <v>109</v>
      </c>
      <c r="E26" s="25" t="s">
        <v>19</v>
      </c>
      <c r="F26" s="28"/>
      <c r="G26" s="27">
        <v>60605427</v>
      </c>
      <c r="H26" s="2" t="s">
        <v>106</v>
      </c>
      <c r="I26" s="27">
        <v>50</v>
      </c>
      <c r="J26" s="27">
        <v>50</v>
      </c>
      <c r="K26" s="27" t="s">
        <v>92</v>
      </c>
      <c r="L26" s="23" t="s">
        <v>63</v>
      </c>
      <c r="M26" s="23">
        <v>46069</v>
      </c>
      <c r="N26" s="7">
        <v>46120</v>
      </c>
      <c r="O26" s="2">
        <v>51</v>
      </c>
      <c r="P26" s="7">
        <f t="shared" si="0"/>
        <v>46119</v>
      </c>
      <c r="XEH26"/>
      <c r="XEI26"/>
      <c r="XEJ26"/>
    </row>
    <row r="27" s="2" customFormat="1" spans="1:16 16362:16364">
      <c r="A27" s="23" t="s">
        <v>110</v>
      </c>
      <c r="B27" s="23" t="s">
        <v>111</v>
      </c>
      <c r="C27" s="24" t="s">
        <v>112</v>
      </c>
      <c r="E27" s="25" t="s">
        <v>19</v>
      </c>
      <c r="F27" s="28"/>
      <c r="G27" s="27">
        <v>60605427</v>
      </c>
      <c r="H27" s="2" t="s">
        <v>106</v>
      </c>
      <c r="I27" s="27">
        <v>25</v>
      </c>
      <c r="J27" s="27">
        <v>25</v>
      </c>
      <c r="K27" s="27" t="s">
        <v>92</v>
      </c>
      <c r="L27" s="23" t="s">
        <v>63</v>
      </c>
      <c r="M27" s="23">
        <v>46069</v>
      </c>
      <c r="N27" s="7">
        <v>46120</v>
      </c>
      <c r="O27" s="2">
        <v>51</v>
      </c>
      <c r="P27" s="7">
        <f t="shared" si="0"/>
        <v>46119</v>
      </c>
      <c r="XEH27"/>
      <c r="XEI27"/>
      <c r="XEJ27"/>
    </row>
    <row r="28" s="2" customFormat="1" spans="1:16 16362:16364">
      <c r="A28" s="23" t="s">
        <v>113</v>
      </c>
      <c r="B28" s="23" t="s">
        <v>114</v>
      </c>
      <c r="C28" s="24" t="s">
        <v>115</v>
      </c>
      <c r="E28" s="25" t="s">
        <v>19</v>
      </c>
      <c r="F28" s="28"/>
      <c r="G28" s="27">
        <v>60605427</v>
      </c>
      <c r="H28" s="2" t="s">
        <v>106</v>
      </c>
      <c r="I28" s="27">
        <v>50</v>
      </c>
      <c r="J28" s="27">
        <v>50</v>
      </c>
      <c r="K28" s="27" t="s">
        <v>92</v>
      </c>
      <c r="L28" s="23" t="s">
        <v>63</v>
      </c>
      <c r="M28" s="23">
        <v>46069</v>
      </c>
      <c r="N28" s="7">
        <v>46120</v>
      </c>
      <c r="O28" s="2">
        <v>51</v>
      </c>
      <c r="P28" s="7">
        <f t="shared" si="0"/>
        <v>46119</v>
      </c>
      <c r="XEH28"/>
      <c r="XEI28"/>
      <c r="XEJ28"/>
    </row>
    <row r="29" s="2" customFormat="1" spans="1:16 16362:16364">
      <c r="A29" s="23" t="s">
        <v>116</v>
      </c>
      <c r="B29" s="23" t="s">
        <v>117</v>
      </c>
      <c r="C29" s="24" t="s">
        <v>118</v>
      </c>
      <c r="E29" s="25" t="s">
        <v>19</v>
      </c>
      <c r="F29" s="28"/>
      <c r="G29" s="27">
        <v>60605427</v>
      </c>
      <c r="H29" s="2" t="s">
        <v>106</v>
      </c>
      <c r="I29" s="27">
        <v>25</v>
      </c>
      <c r="J29" s="27">
        <v>25</v>
      </c>
      <c r="K29" s="27" t="s">
        <v>92</v>
      </c>
      <c r="L29" s="23" t="s">
        <v>63</v>
      </c>
      <c r="M29" s="23">
        <v>46069</v>
      </c>
      <c r="N29" s="7">
        <v>46120</v>
      </c>
      <c r="O29" s="2">
        <v>51</v>
      </c>
      <c r="P29" s="7">
        <f t="shared" si="0"/>
        <v>46119</v>
      </c>
      <c r="XEH29"/>
      <c r="XEI29"/>
      <c r="XEJ29"/>
    </row>
    <row r="30" s="2" customFormat="1" spans="1:16 16362:16364">
      <c r="A30" s="23" t="s">
        <v>119</v>
      </c>
      <c r="B30" s="23" t="s">
        <v>120</v>
      </c>
      <c r="C30" s="24" t="s">
        <v>121</v>
      </c>
      <c r="E30" s="25" t="s">
        <v>19</v>
      </c>
      <c r="F30" s="29" t="s">
        <v>122</v>
      </c>
      <c r="G30" s="29">
        <v>61107046</v>
      </c>
      <c r="H30" s="2" t="s">
        <v>106</v>
      </c>
      <c r="I30" s="19">
        <v>50</v>
      </c>
      <c r="J30" s="19">
        <v>50</v>
      </c>
      <c r="K30" s="29" t="s">
        <v>92</v>
      </c>
      <c r="L30" s="23" t="s">
        <v>63</v>
      </c>
      <c r="M30" s="23">
        <v>46063</v>
      </c>
      <c r="N30" s="7">
        <v>46122</v>
      </c>
      <c r="O30" s="2">
        <v>59</v>
      </c>
      <c r="P30" s="7">
        <f t="shared" si="0"/>
        <v>46113</v>
      </c>
      <c r="XEH30"/>
      <c r="XEI30"/>
      <c r="XEJ30"/>
    </row>
    <row r="31" s="2" customFormat="1" spans="1:16 16362:16364">
      <c r="A31" s="23" t="s">
        <v>123</v>
      </c>
      <c r="B31" s="23" t="s">
        <v>124</v>
      </c>
      <c r="C31" s="24" t="s">
        <v>125</v>
      </c>
      <c r="E31" s="25" t="s">
        <v>19</v>
      </c>
      <c r="F31" s="30" t="s">
        <v>126</v>
      </c>
      <c r="G31" s="27">
        <v>61274458</v>
      </c>
      <c r="H31" s="31" t="s">
        <v>54</v>
      </c>
      <c r="I31" s="27">
        <v>0</v>
      </c>
      <c r="J31" s="27">
        <v>0</v>
      </c>
      <c r="K31" s="27" t="s">
        <v>62</v>
      </c>
      <c r="L31" s="23" t="s">
        <v>63</v>
      </c>
      <c r="M31" s="23">
        <v>46074</v>
      </c>
      <c r="N31" s="7"/>
      <c r="O31" s="2">
        <v>-46074</v>
      </c>
      <c r="P31" s="7">
        <f t="shared" si="0"/>
        <v>46124</v>
      </c>
      <c r="XEH31"/>
      <c r="XEI31"/>
      <c r="XEJ31"/>
    </row>
    <row r="32" s="2" customFormat="1" spans="1:16 16362:16364">
      <c r="A32" s="23" t="s">
        <v>64</v>
      </c>
      <c r="B32" s="23" t="s">
        <v>65</v>
      </c>
      <c r="C32" s="24" t="s">
        <v>66</v>
      </c>
      <c r="E32" s="25" t="s">
        <v>19</v>
      </c>
      <c r="F32" s="28"/>
      <c r="G32" s="27">
        <v>61274458</v>
      </c>
      <c r="H32" s="31" t="s">
        <v>54</v>
      </c>
      <c r="I32" s="27">
        <v>0</v>
      </c>
      <c r="J32" s="27">
        <v>0</v>
      </c>
      <c r="K32" s="27" t="s">
        <v>62</v>
      </c>
      <c r="L32" s="23" t="s">
        <v>63</v>
      </c>
      <c r="M32" s="23">
        <v>46074</v>
      </c>
      <c r="N32" s="7"/>
      <c r="O32" s="2">
        <v>-46074</v>
      </c>
      <c r="P32" s="7">
        <f t="shared" si="0"/>
        <v>46124</v>
      </c>
      <c r="XEH32"/>
      <c r="XEI32"/>
      <c r="XEJ32"/>
    </row>
    <row r="33" s="2" customFormat="1" spans="1:16 16362:16364">
      <c r="A33" s="23" t="s">
        <v>127</v>
      </c>
      <c r="B33" s="23" t="s">
        <v>128</v>
      </c>
      <c r="C33" s="24" t="s">
        <v>129</v>
      </c>
      <c r="E33" s="25" t="s">
        <v>19</v>
      </c>
      <c r="F33" s="28"/>
      <c r="G33" s="27">
        <v>61274458</v>
      </c>
      <c r="H33" s="31" t="s">
        <v>54</v>
      </c>
      <c r="I33" s="27">
        <v>0</v>
      </c>
      <c r="J33" s="27">
        <v>0</v>
      </c>
      <c r="K33" s="27" t="s">
        <v>62</v>
      </c>
      <c r="L33" s="23" t="s">
        <v>63</v>
      </c>
      <c r="M33" s="23">
        <v>46074</v>
      </c>
      <c r="N33" s="7"/>
      <c r="O33" s="2">
        <v>-46074</v>
      </c>
      <c r="P33" s="7">
        <f t="shared" si="0"/>
        <v>46124</v>
      </c>
      <c r="XEH33"/>
      <c r="XEI33"/>
      <c r="XEJ33"/>
    </row>
    <row r="34" s="2" customFormat="1" spans="1:16 16362:16364">
      <c r="A34" s="23" t="s">
        <v>130</v>
      </c>
      <c r="B34" s="23" t="s">
        <v>131</v>
      </c>
      <c r="C34" s="24" t="s">
        <v>132</v>
      </c>
      <c r="E34" s="25" t="s">
        <v>19</v>
      </c>
      <c r="F34" s="28"/>
      <c r="G34" s="27">
        <v>61274458</v>
      </c>
      <c r="H34" s="31" t="s">
        <v>54</v>
      </c>
      <c r="I34" s="27">
        <v>0</v>
      </c>
      <c r="J34" s="27">
        <v>0</v>
      </c>
      <c r="K34" s="27" t="s">
        <v>62</v>
      </c>
      <c r="L34" s="23" t="s">
        <v>63</v>
      </c>
      <c r="M34" s="23">
        <v>46074</v>
      </c>
      <c r="N34" s="7"/>
      <c r="O34" s="2">
        <v>-46074</v>
      </c>
      <c r="P34" s="7">
        <f t="shared" si="0"/>
        <v>46124</v>
      </c>
      <c r="XEH34"/>
      <c r="XEI34"/>
      <c r="XEJ34"/>
    </row>
    <row r="35" s="2" customFormat="1" spans="1:16 16362:16364">
      <c r="A35" s="23" t="s">
        <v>133</v>
      </c>
      <c r="B35" s="23" t="s">
        <v>134</v>
      </c>
      <c r="C35" s="24" t="s">
        <v>135</v>
      </c>
      <c r="E35" s="25" t="s">
        <v>19</v>
      </c>
      <c r="F35" s="30" t="s">
        <v>136</v>
      </c>
      <c r="G35" s="27">
        <v>61274679</v>
      </c>
      <c r="H35" s="31" t="s">
        <v>54</v>
      </c>
      <c r="I35" s="27">
        <v>0</v>
      </c>
      <c r="J35" s="27">
        <v>0</v>
      </c>
      <c r="K35" s="27" t="s">
        <v>62</v>
      </c>
      <c r="L35" s="23" t="s">
        <v>63</v>
      </c>
      <c r="M35" s="23">
        <v>46074</v>
      </c>
      <c r="N35" s="7"/>
      <c r="O35" s="2">
        <v>-46074</v>
      </c>
      <c r="P35" s="7">
        <f t="shared" ref="P35:P66" si="1">M35+50</f>
        <v>46124</v>
      </c>
      <c r="XEH35"/>
      <c r="XEI35"/>
      <c r="XEJ35"/>
    </row>
    <row r="36" s="2" customFormat="1" spans="1:16 16362:16364">
      <c r="A36" s="23" t="s">
        <v>59</v>
      </c>
      <c r="B36" s="23" t="s">
        <v>60</v>
      </c>
      <c r="C36" s="24" t="s">
        <v>61</v>
      </c>
      <c r="E36" s="25" t="s">
        <v>19</v>
      </c>
      <c r="F36" s="28"/>
      <c r="G36" s="27">
        <v>61274679</v>
      </c>
      <c r="H36" s="31" t="s">
        <v>54</v>
      </c>
      <c r="I36" s="27">
        <v>0</v>
      </c>
      <c r="J36" s="27">
        <v>0</v>
      </c>
      <c r="K36" s="27" t="s">
        <v>62</v>
      </c>
      <c r="L36" s="23" t="s">
        <v>63</v>
      </c>
      <c r="M36" s="23">
        <v>46074</v>
      </c>
      <c r="N36" s="7"/>
      <c r="O36" s="2">
        <v>-46074</v>
      </c>
      <c r="P36" s="7">
        <f t="shared" si="1"/>
        <v>46124</v>
      </c>
      <c r="XEH36"/>
      <c r="XEI36"/>
      <c r="XEJ36"/>
    </row>
    <row r="37" s="2" customFormat="1" spans="1:16 16362:16364">
      <c r="A37" s="23" t="s">
        <v>137</v>
      </c>
      <c r="B37" s="23" t="s">
        <v>138</v>
      </c>
      <c r="C37" s="24" t="s">
        <v>139</v>
      </c>
      <c r="E37" s="25" t="s">
        <v>19</v>
      </c>
      <c r="F37" s="28"/>
      <c r="G37" s="27">
        <v>61274679</v>
      </c>
      <c r="H37" s="31" t="s">
        <v>54</v>
      </c>
      <c r="I37" s="27">
        <v>0</v>
      </c>
      <c r="J37" s="27">
        <v>0</v>
      </c>
      <c r="K37" s="27" t="s">
        <v>62</v>
      </c>
      <c r="L37" s="23" t="s">
        <v>63</v>
      </c>
      <c r="M37" s="23">
        <v>46074</v>
      </c>
      <c r="N37" s="7"/>
      <c r="O37" s="2">
        <v>-46074</v>
      </c>
      <c r="P37" s="7">
        <f t="shared" si="1"/>
        <v>46124</v>
      </c>
      <c r="XEH37"/>
      <c r="XEI37"/>
      <c r="XEJ37"/>
    </row>
    <row r="38" s="2" customFormat="1" spans="1:16 16362:16364">
      <c r="A38" s="23" t="s">
        <v>140</v>
      </c>
      <c r="B38" s="23" t="s">
        <v>141</v>
      </c>
      <c r="C38" s="24" t="s">
        <v>142</v>
      </c>
      <c r="E38" s="25" t="s">
        <v>19</v>
      </c>
      <c r="F38" s="28"/>
      <c r="G38" s="27">
        <v>61274679</v>
      </c>
      <c r="H38" s="31" t="s">
        <v>54</v>
      </c>
      <c r="I38" s="27">
        <v>0</v>
      </c>
      <c r="J38" s="27">
        <v>0</v>
      </c>
      <c r="K38" s="27" t="s">
        <v>62</v>
      </c>
      <c r="L38" s="23" t="s">
        <v>63</v>
      </c>
      <c r="M38" s="23">
        <v>46074</v>
      </c>
      <c r="N38" s="7"/>
      <c r="O38" s="2">
        <v>-46074</v>
      </c>
      <c r="P38" s="7">
        <f t="shared" si="1"/>
        <v>46124</v>
      </c>
      <c r="XEH38"/>
      <c r="XEI38"/>
      <c r="XEJ38"/>
    </row>
    <row r="39" s="2" customFormat="1" spans="1:16 16362:16364">
      <c r="A39" s="23" t="s">
        <v>119</v>
      </c>
      <c r="B39" s="23" t="s">
        <v>120</v>
      </c>
      <c r="C39" s="24" t="s">
        <v>121</v>
      </c>
      <c r="E39" s="25" t="s">
        <v>19</v>
      </c>
      <c r="F39" s="29" t="s">
        <v>143</v>
      </c>
      <c r="G39" s="32">
        <v>61575488</v>
      </c>
      <c r="H39" s="27" t="s">
        <v>106</v>
      </c>
      <c r="I39" s="27">
        <v>200</v>
      </c>
      <c r="J39" s="27">
        <v>200</v>
      </c>
      <c r="K39" s="27" t="s">
        <v>92</v>
      </c>
      <c r="L39" s="23" t="s">
        <v>63</v>
      </c>
      <c r="M39" s="23">
        <v>46076</v>
      </c>
      <c r="N39" s="7">
        <v>46129</v>
      </c>
      <c r="O39" s="2">
        <v>53</v>
      </c>
      <c r="P39" s="7">
        <f t="shared" si="1"/>
        <v>46126</v>
      </c>
      <c r="XEH39"/>
      <c r="XEI39"/>
      <c r="XEJ39"/>
    </row>
    <row r="40" s="2" customFormat="1" spans="1:16 16362:16364">
      <c r="A40" s="23" t="s">
        <v>144</v>
      </c>
      <c r="B40" s="23" t="s">
        <v>145</v>
      </c>
      <c r="C40" s="24" t="s">
        <v>146</v>
      </c>
      <c r="E40" s="25" t="s">
        <v>19</v>
      </c>
      <c r="F40" s="33"/>
      <c r="G40" s="32">
        <v>61575488</v>
      </c>
      <c r="H40" s="27" t="s">
        <v>106</v>
      </c>
      <c r="I40" s="27">
        <v>100</v>
      </c>
      <c r="J40" s="27">
        <v>100</v>
      </c>
      <c r="K40" s="27" t="s">
        <v>92</v>
      </c>
      <c r="L40" s="23" t="s">
        <v>63</v>
      </c>
      <c r="M40" s="23">
        <v>46076</v>
      </c>
      <c r="N40" s="7">
        <v>46129</v>
      </c>
      <c r="O40" s="2">
        <v>53</v>
      </c>
      <c r="P40" s="7">
        <f t="shared" si="1"/>
        <v>46126</v>
      </c>
      <c r="XEH40"/>
      <c r="XEI40"/>
      <c r="XEJ40"/>
    </row>
    <row r="41" s="2" customFormat="1" spans="1:16 16362:16364">
      <c r="A41" s="23" t="s">
        <v>147</v>
      </c>
      <c r="B41" s="23" t="s">
        <v>148</v>
      </c>
      <c r="C41" s="24" t="s">
        <v>149</v>
      </c>
      <c r="E41" s="25" t="s">
        <v>19</v>
      </c>
      <c r="F41" s="33"/>
      <c r="G41" s="32">
        <v>61575488</v>
      </c>
      <c r="H41" s="27" t="s">
        <v>106</v>
      </c>
      <c r="I41" s="27">
        <v>100</v>
      </c>
      <c r="J41" s="27">
        <v>100</v>
      </c>
      <c r="K41" s="27" t="s">
        <v>92</v>
      </c>
      <c r="L41" s="23" t="s">
        <v>63</v>
      </c>
      <c r="M41" s="23">
        <v>46076</v>
      </c>
      <c r="N41" s="7">
        <v>46129</v>
      </c>
      <c r="O41" s="2">
        <v>53</v>
      </c>
      <c r="P41" s="7">
        <f t="shared" si="1"/>
        <v>46126</v>
      </c>
      <c r="XEH41"/>
      <c r="XEI41"/>
      <c r="XEJ41"/>
    </row>
    <row r="42" s="2" customFormat="1" spans="1:16 16362:16364">
      <c r="A42" s="23" t="s">
        <v>150</v>
      </c>
      <c r="B42" s="23" t="s">
        <v>151</v>
      </c>
      <c r="C42" s="24" t="s">
        <v>152</v>
      </c>
      <c r="E42" s="25" t="s">
        <v>19</v>
      </c>
      <c r="F42" s="29" t="s">
        <v>153</v>
      </c>
      <c r="G42" s="32">
        <v>61575888</v>
      </c>
      <c r="H42" s="27" t="s">
        <v>106</v>
      </c>
      <c r="I42" s="27">
        <v>150</v>
      </c>
      <c r="J42" s="27">
        <v>150</v>
      </c>
      <c r="K42" s="27" t="s">
        <v>92</v>
      </c>
      <c r="L42" s="23" t="s">
        <v>63</v>
      </c>
      <c r="M42" s="23">
        <v>46076</v>
      </c>
      <c r="N42" s="7">
        <v>46129</v>
      </c>
      <c r="O42" s="2">
        <v>53</v>
      </c>
      <c r="P42" s="7">
        <f t="shared" si="1"/>
        <v>46126</v>
      </c>
      <c r="XEH42"/>
      <c r="XEI42"/>
      <c r="XEJ42"/>
    </row>
    <row r="43" s="2" customFormat="1" spans="1:16 16362:16364">
      <c r="A43" s="23" t="s">
        <v>154</v>
      </c>
      <c r="B43" s="23" t="s">
        <v>155</v>
      </c>
      <c r="C43" s="24" t="s">
        <v>156</v>
      </c>
      <c r="E43" s="25" t="s">
        <v>19</v>
      </c>
      <c r="F43" s="33"/>
      <c r="G43" s="32">
        <v>61575888</v>
      </c>
      <c r="H43" s="27" t="s">
        <v>106</v>
      </c>
      <c r="I43" s="27">
        <v>150</v>
      </c>
      <c r="J43" s="27">
        <v>150</v>
      </c>
      <c r="K43" s="27" t="s">
        <v>92</v>
      </c>
      <c r="L43" s="23" t="s">
        <v>63</v>
      </c>
      <c r="M43" s="23">
        <v>46076</v>
      </c>
      <c r="N43" s="7">
        <v>46129</v>
      </c>
      <c r="O43" s="2">
        <v>53</v>
      </c>
      <c r="P43" s="7">
        <f t="shared" si="1"/>
        <v>46126</v>
      </c>
      <c r="XEH43"/>
      <c r="XEI43"/>
      <c r="XEJ43"/>
    </row>
    <row r="44" s="2" customFormat="1" spans="1:16 16362:16364">
      <c r="A44" s="23" t="s">
        <v>107</v>
      </c>
      <c r="B44" s="23" t="s">
        <v>108</v>
      </c>
      <c r="C44" s="24" t="s">
        <v>109</v>
      </c>
      <c r="E44" s="25" t="s">
        <v>19</v>
      </c>
      <c r="F44" s="33"/>
      <c r="G44" s="32">
        <v>61575888</v>
      </c>
      <c r="H44" s="27" t="s">
        <v>106</v>
      </c>
      <c r="I44" s="27">
        <v>100</v>
      </c>
      <c r="J44" s="27">
        <v>100</v>
      </c>
      <c r="K44" s="27" t="s">
        <v>92</v>
      </c>
      <c r="L44" s="23" t="s">
        <v>63</v>
      </c>
      <c r="M44" s="23">
        <v>46076</v>
      </c>
      <c r="N44" s="7">
        <v>46129</v>
      </c>
      <c r="O44" s="2">
        <v>53</v>
      </c>
      <c r="P44" s="7">
        <f t="shared" si="1"/>
        <v>46126</v>
      </c>
      <c r="XEH44"/>
      <c r="XEI44"/>
      <c r="XEJ44"/>
    </row>
    <row r="45" s="2" customFormat="1" spans="1:16 16362:16364">
      <c r="A45" s="23" t="s">
        <v>157</v>
      </c>
      <c r="B45" s="23" t="s">
        <v>158</v>
      </c>
      <c r="C45" s="24" t="s">
        <v>159</v>
      </c>
      <c r="E45" s="25" t="s">
        <v>19</v>
      </c>
      <c r="F45" s="33"/>
      <c r="G45" s="32">
        <v>61575888</v>
      </c>
      <c r="H45" s="27" t="s">
        <v>106</v>
      </c>
      <c r="I45" s="27">
        <v>50</v>
      </c>
      <c r="J45" s="27">
        <v>50</v>
      </c>
      <c r="K45" s="27" t="s">
        <v>92</v>
      </c>
      <c r="L45" s="23" t="s">
        <v>63</v>
      </c>
      <c r="M45" s="23">
        <v>46076</v>
      </c>
      <c r="N45" s="7">
        <v>46129</v>
      </c>
      <c r="O45" s="2">
        <v>53</v>
      </c>
      <c r="P45" s="7">
        <f t="shared" si="1"/>
        <v>46126</v>
      </c>
      <c r="XEH45"/>
      <c r="XEI45"/>
      <c r="XEJ45"/>
    </row>
    <row r="46" s="2" customFormat="1" spans="1:16 16362:16364">
      <c r="A46" s="23" t="s">
        <v>160</v>
      </c>
      <c r="B46" s="23" t="s">
        <v>161</v>
      </c>
      <c r="C46" s="24" t="s">
        <v>162</v>
      </c>
      <c r="E46" s="25" t="s">
        <v>19</v>
      </c>
      <c r="F46" s="34" t="s">
        <v>163</v>
      </c>
      <c r="G46" s="27">
        <v>63770220</v>
      </c>
      <c r="H46" s="2" t="s">
        <v>106</v>
      </c>
      <c r="I46" s="27">
        <v>0</v>
      </c>
      <c r="J46" s="35">
        <v>50</v>
      </c>
      <c r="K46" s="2" t="s">
        <v>92</v>
      </c>
      <c r="L46" s="2" t="s">
        <v>63</v>
      </c>
      <c r="M46" s="23">
        <v>46104</v>
      </c>
      <c r="N46" s="36">
        <v>46140</v>
      </c>
      <c r="O46" s="2">
        <v>36</v>
      </c>
      <c r="P46" s="7">
        <f t="shared" si="1"/>
        <v>46154</v>
      </c>
      <c r="XEH46"/>
      <c r="XEI46"/>
      <c r="XEJ46"/>
    </row>
    <row r="47" s="2" customFormat="1" spans="1:16 16362:16364">
      <c r="A47" s="23" t="s">
        <v>164</v>
      </c>
      <c r="B47" s="23" t="s">
        <v>165</v>
      </c>
      <c r="C47" s="24" t="s">
        <v>166</v>
      </c>
      <c r="E47" s="25" t="s">
        <v>19</v>
      </c>
      <c r="F47" s="30" t="s">
        <v>167</v>
      </c>
      <c r="G47" s="27">
        <v>64178706</v>
      </c>
      <c r="H47" s="27" t="s">
        <v>106</v>
      </c>
      <c r="I47" s="27">
        <v>250</v>
      </c>
      <c r="J47" s="27">
        <v>250</v>
      </c>
      <c r="K47" s="2" t="s">
        <v>62</v>
      </c>
      <c r="L47" s="2" t="s">
        <v>63</v>
      </c>
      <c r="M47" s="23">
        <v>46125</v>
      </c>
      <c r="N47" s="37">
        <v>46167</v>
      </c>
      <c r="O47" s="2">
        <v>42</v>
      </c>
      <c r="P47" s="7">
        <f t="shared" si="1"/>
        <v>46175</v>
      </c>
      <c r="XEH47"/>
      <c r="XEI47"/>
      <c r="XEJ47"/>
    </row>
    <row r="48" s="2" customFormat="1" spans="1:16 16362:16364">
      <c r="A48" s="23" t="s">
        <v>168</v>
      </c>
      <c r="B48" s="23" t="s">
        <v>169</v>
      </c>
      <c r="C48" s="24" t="s">
        <v>170</v>
      </c>
      <c r="E48" s="25" t="s">
        <v>19</v>
      </c>
      <c r="F48" s="30" t="s">
        <v>171</v>
      </c>
      <c r="G48" s="27">
        <v>64178748</v>
      </c>
      <c r="H48" s="27" t="s">
        <v>106</v>
      </c>
      <c r="I48" s="27">
        <v>500</v>
      </c>
      <c r="J48" s="27">
        <v>500</v>
      </c>
      <c r="K48" s="2" t="s">
        <v>62</v>
      </c>
      <c r="L48" s="2" t="s">
        <v>63</v>
      </c>
      <c r="M48" s="23">
        <v>46125</v>
      </c>
      <c r="N48" s="37">
        <v>46167</v>
      </c>
      <c r="O48" s="2">
        <v>42</v>
      </c>
      <c r="P48" s="7">
        <f t="shared" si="1"/>
        <v>46175</v>
      </c>
      <c r="XEH48"/>
      <c r="XEI48"/>
      <c r="XEJ48"/>
    </row>
    <row r="49" s="2" customFormat="1" spans="1:16 16362:16364">
      <c r="A49" s="23" t="s">
        <v>172</v>
      </c>
      <c r="B49" s="23" t="s">
        <v>173</v>
      </c>
      <c r="C49" s="24" t="s">
        <v>174</v>
      </c>
      <c r="E49" s="25" t="s">
        <v>19</v>
      </c>
      <c r="F49" s="30" t="s">
        <v>175</v>
      </c>
      <c r="G49" s="27">
        <v>64178803</v>
      </c>
      <c r="H49" s="27" t="s">
        <v>106</v>
      </c>
      <c r="I49" s="27">
        <v>250</v>
      </c>
      <c r="J49" s="27">
        <v>250</v>
      </c>
      <c r="K49" s="2" t="s">
        <v>62</v>
      </c>
      <c r="L49" s="2" t="s">
        <v>63</v>
      </c>
      <c r="M49" s="23">
        <v>46125</v>
      </c>
      <c r="N49" s="37">
        <v>46167</v>
      </c>
      <c r="O49" s="2">
        <v>42</v>
      </c>
      <c r="P49" s="7">
        <f t="shared" si="1"/>
        <v>46175</v>
      </c>
      <c r="XEH49"/>
      <c r="XEI49"/>
      <c r="XEJ49"/>
    </row>
    <row r="50" s="2" customFormat="1" spans="1:16 16362:16364">
      <c r="A50" s="23" t="s">
        <v>160</v>
      </c>
      <c r="B50" s="23" t="s">
        <v>161</v>
      </c>
      <c r="C50" s="24" t="s">
        <v>162</v>
      </c>
      <c r="E50" s="25" t="s">
        <v>19</v>
      </c>
      <c r="F50" s="30" t="s">
        <v>176</v>
      </c>
      <c r="G50" s="27">
        <v>64178873</v>
      </c>
      <c r="H50" s="27" t="s">
        <v>106</v>
      </c>
      <c r="I50" s="27">
        <v>250</v>
      </c>
      <c r="J50" s="27">
        <v>250</v>
      </c>
      <c r="K50" s="2" t="s">
        <v>62</v>
      </c>
      <c r="L50" s="2" t="s">
        <v>63</v>
      </c>
      <c r="M50" s="23">
        <v>46125</v>
      </c>
      <c r="N50" s="37">
        <v>46167</v>
      </c>
      <c r="O50" s="2">
        <v>42</v>
      </c>
      <c r="P50" s="7">
        <f t="shared" si="1"/>
        <v>46175</v>
      </c>
      <c r="XEH50"/>
      <c r="XEI50"/>
      <c r="XEJ50"/>
    </row>
    <row r="51" s="4" customFormat="1" spans="1:16 16362:16364">
      <c r="A51" s="23" t="s">
        <v>177</v>
      </c>
      <c r="B51" s="23" t="s">
        <v>178</v>
      </c>
      <c r="C51" s="24" t="s">
        <v>179</v>
      </c>
      <c r="D51" s="2"/>
      <c r="E51" s="38" t="s">
        <v>19</v>
      </c>
      <c r="F51" s="2" t="s">
        <v>180</v>
      </c>
      <c r="G51" s="39">
        <v>64178528</v>
      </c>
      <c r="H51" s="2" t="s">
        <v>106</v>
      </c>
      <c r="I51" s="40">
        <v>0</v>
      </c>
      <c r="J51" s="41">
        <v>40</v>
      </c>
      <c r="K51" s="40" t="s">
        <v>92</v>
      </c>
      <c r="L51" s="42" t="s">
        <v>63</v>
      </c>
      <c r="M51" s="23">
        <v>46119</v>
      </c>
      <c r="N51" s="20">
        <v>46154</v>
      </c>
      <c r="O51" s="43">
        <v>35</v>
      </c>
      <c r="P51" s="7">
        <f t="shared" si="1"/>
        <v>46169</v>
      </c>
      <c r="XEH51"/>
      <c r="XEI51"/>
      <c r="XEJ51"/>
    </row>
    <row r="52" s="4" customFormat="1" spans="1:16 16362:16364">
      <c r="A52" s="23" t="s">
        <v>181</v>
      </c>
      <c r="B52" s="23" t="s">
        <v>182</v>
      </c>
      <c r="C52" s="24" t="s">
        <v>183</v>
      </c>
      <c r="D52" s="2"/>
      <c r="E52" s="38" t="s">
        <v>19</v>
      </c>
      <c r="F52" s="2" t="s">
        <v>184</v>
      </c>
      <c r="G52" s="39">
        <v>64178645</v>
      </c>
      <c r="H52" s="27" t="s">
        <v>106</v>
      </c>
      <c r="I52" s="40">
        <v>0</v>
      </c>
      <c r="J52" s="41">
        <v>100</v>
      </c>
      <c r="K52" s="40" t="s">
        <v>92</v>
      </c>
      <c r="L52" s="42" t="s">
        <v>63</v>
      </c>
      <c r="M52" s="23">
        <v>46119</v>
      </c>
      <c r="N52" s="20">
        <v>46154</v>
      </c>
      <c r="O52" s="43">
        <v>35</v>
      </c>
      <c r="P52" s="7">
        <f t="shared" si="1"/>
        <v>46169</v>
      </c>
      <c r="XEH52"/>
      <c r="XEI52"/>
      <c r="XEJ52"/>
    </row>
    <row r="53" s="4" customFormat="1" spans="1:16 16362:16364">
      <c r="A53" s="44" t="s">
        <v>185</v>
      </c>
      <c r="B53" s="23" t="s">
        <v>186</v>
      </c>
      <c r="C53" s="24" t="s">
        <v>187</v>
      </c>
      <c r="D53" s="2"/>
      <c r="E53" s="38" t="s">
        <v>19</v>
      </c>
      <c r="F53" s="45"/>
      <c r="G53" s="46"/>
      <c r="H53" s="2" t="s">
        <v>106</v>
      </c>
      <c r="I53" s="19">
        <v>0</v>
      </c>
      <c r="J53" s="41">
        <v>65</v>
      </c>
      <c r="K53" s="40" t="s">
        <v>92</v>
      </c>
      <c r="L53" s="42" t="s">
        <v>63</v>
      </c>
      <c r="M53" s="23">
        <v>46119</v>
      </c>
      <c r="N53" s="20">
        <v>46154</v>
      </c>
      <c r="O53" s="43">
        <v>35</v>
      </c>
      <c r="P53" s="7">
        <f t="shared" si="1"/>
        <v>46169</v>
      </c>
      <c r="XEH53"/>
      <c r="XEI53"/>
      <c r="XEJ53"/>
    </row>
    <row r="54" s="4" customFormat="1" spans="1:16 16362:16364">
      <c r="A54" s="44" t="s">
        <v>188</v>
      </c>
      <c r="B54" s="23" t="s">
        <v>189</v>
      </c>
      <c r="C54" s="24" t="s">
        <v>190</v>
      </c>
      <c r="D54" s="2"/>
      <c r="E54" s="38" t="s">
        <v>19</v>
      </c>
      <c r="F54" s="45"/>
      <c r="G54" s="46"/>
      <c r="H54" s="2" t="s">
        <v>106</v>
      </c>
      <c r="I54" s="19">
        <v>0</v>
      </c>
      <c r="J54" s="41">
        <v>65</v>
      </c>
      <c r="K54" s="40" t="s">
        <v>92</v>
      </c>
      <c r="L54" s="42" t="s">
        <v>63</v>
      </c>
      <c r="M54" s="23">
        <v>46119</v>
      </c>
      <c r="N54" s="20">
        <v>46154</v>
      </c>
      <c r="O54" s="43">
        <v>35</v>
      </c>
      <c r="P54" s="7">
        <f t="shared" si="1"/>
        <v>46169</v>
      </c>
      <c r="XEH54"/>
      <c r="XEI54"/>
      <c r="XEJ54"/>
    </row>
    <row r="55" s="2" customFormat="1" spans="1:16 16362:16364">
      <c r="A55" s="42" t="s">
        <v>191</v>
      </c>
      <c r="B55" s="42" t="s">
        <v>192</v>
      </c>
      <c r="C55" s="47" t="s">
        <v>193</v>
      </c>
      <c r="E55" s="48" t="s">
        <v>19</v>
      </c>
      <c r="F55" s="49" t="s">
        <v>194</v>
      </c>
      <c r="G55" s="49">
        <v>67505530</v>
      </c>
      <c r="H55" s="43" t="s">
        <v>91</v>
      </c>
      <c r="I55" s="40">
        <v>200</v>
      </c>
      <c r="J55" s="40">
        <v>200</v>
      </c>
      <c r="K55" s="2" t="s">
        <v>62</v>
      </c>
      <c r="L55" s="42" t="s">
        <v>63</v>
      </c>
      <c r="M55" s="23">
        <v>46161</v>
      </c>
      <c r="N55" s="20">
        <v>46199</v>
      </c>
      <c r="O55" s="43">
        <v>38</v>
      </c>
      <c r="P55" s="7">
        <f t="shared" si="1"/>
        <v>46211</v>
      </c>
      <c r="XEH55"/>
      <c r="XEI55"/>
      <c r="XEJ55"/>
    </row>
    <row r="56" s="2" customFormat="1" spans="1:16 16362:16364">
      <c r="A56" s="42" t="s">
        <v>195</v>
      </c>
      <c r="B56" s="42" t="s">
        <v>196</v>
      </c>
      <c r="C56" s="47" t="s">
        <v>197</v>
      </c>
      <c r="E56" s="48" t="s">
        <v>19</v>
      </c>
      <c r="F56" s="19" t="s">
        <v>198</v>
      </c>
      <c r="G56" s="19">
        <v>68050364</v>
      </c>
      <c r="H56" s="43" t="s">
        <v>21</v>
      </c>
      <c r="I56" s="43" t="s">
        <v>22</v>
      </c>
      <c r="J56" s="40">
        <v>80</v>
      </c>
      <c r="K56" s="2" t="s">
        <v>92</v>
      </c>
      <c r="L56" s="42" t="s">
        <v>63</v>
      </c>
      <c r="M56" s="23">
        <v>46187</v>
      </c>
      <c r="O56" s="43">
        <v>-46187</v>
      </c>
      <c r="P56" s="7">
        <f t="shared" si="1"/>
        <v>46237</v>
      </c>
      <c r="XEH56"/>
      <c r="XEI56"/>
      <c r="XEJ56"/>
    </row>
    <row r="57" s="2" customFormat="1" spans="1:16 16362:16364">
      <c r="A57" s="42" t="s">
        <v>199</v>
      </c>
      <c r="B57" s="42" t="s">
        <v>200</v>
      </c>
      <c r="C57" s="47" t="s">
        <v>201</v>
      </c>
      <c r="E57" s="48" t="s">
        <v>19</v>
      </c>
      <c r="F57" s="50"/>
      <c r="G57" s="51"/>
      <c r="H57" s="43" t="s">
        <v>21</v>
      </c>
      <c r="I57" s="43" t="s">
        <v>22</v>
      </c>
      <c r="J57" s="40">
        <v>200</v>
      </c>
      <c r="K57" s="2" t="s">
        <v>92</v>
      </c>
      <c r="L57" s="42" t="s">
        <v>63</v>
      </c>
      <c r="M57" s="23">
        <v>46187</v>
      </c>
      <c r="O57" s="43">
        <v>-46187</v>
      </c>
      <c r="P57" s="7">
        <f t="shared" si="1"/>
        <v>46237</v>
      </c>
      <c r="XEH57"/>
      <c r="XEI57"/>
      <c r="XEJ57"/>
    </row>
    <row r="58" s="2" customFormat="1" spans="1:16 16362:16364">
      <c r="A58" s="42" t="s">
        <v>202</v>
      </c>
      <c r="B58" s="42" t="s">
        <v>203</v>
      </c>
      <c r="C58" s="47" t="s">
        <v>204</v>
      </c>
      <c r="E58" s="48" t="s">
        <v>19</v>
      </c>
      <c r="F58" s="50"/>
      <c r="G58" s="51"/>
      <c r="H58" s="43" t="s">
        <v>21</v>
      </c>
      <c r="I58" s="43" t="s">
        <v>22</v>
      </c>
      <c r="J58" s="40">
        <v>160</v>
      </c>
      <c r="K58" s="2" t="s">
        <v>92</v>
      </c>
      <c r="L58" s="42" t="s">
        <v>63</v>
      </c>
      <c r="M58" s="23">
        <v>46187</v>
      </c>
      <c r="O58" s="43">
        <v>-46187</v>
      </c>
      <c r="P58" s="7">
        <f t="shared" si="1"/>
        <v>46237</v>
      </c>
      <c r="XEH58"/>
      <c r="XEI58"/>
      <c r="XEJ58"/>
    </row>
    <row r="59" s="2" customFormat="1" spans="1:16 16362:16364">
      <c r="A59" s="42" t="s">
        <v>205</v>
      </c>
      <c r="B59" s="42" t="s">
        <v>206</v>
      </c>
      <c r="C59" s="47" t="s">
        <v>207</v>
      </c>
      <c r="E59" s="48" t="s">
        <v>19</v>
      </c>
      <c r="F59" s="50"/>
      <c r="G59" s="51"/>
      <c r="H59" s="43" t="s">
        <v>21</v>
      </c>
      <c r="I59" s="43" t="s">
        <v>22</v>
      </c>
      <c r="J59" s="40">
        <v>120</v>
      </c>
      <c r="K59" s="2" t="s">
        <v>92</v>
      </c>
      <c r="L59" s="42" t="s">
        <v>63</v>
      </c>
      <c r="M59" s="23">
        <v>46187</v>
      </c>
      <c r="O59" s="43">
        <v>-46187</v>
      </c>
      <c r="P59" s="7">
        <f t="shared" si="1"/>
        <v>46237</v>
      </c>
      <c r="XEH59"/>
      <c r="XEI59"/>
      <c r="XEJ59"/>
    </row>
    <row r="60" s="2" customFormat="1" spans="1:16 16362:16364">
      <c r="A60" s="42" t="s">
        <v>208</v>
      </c>
      <c r="B60" s="42" t="s">
        <v>209</v>
      </c>
      <c r="C60" s="47" t="s">
        <v>210</v>
      </c>
      <c r="E60" s="48" t="s">
        <v>19</v>
      </c>
      <c r="F60" s="50"/>
      <c r="G60" s="51"/>
      <c r="H60" s="43" t="s">
        <v>21</v>
      </c>
      <c r="I60" s="43" t="s">
        <v>22</v>
      </c>
      <c r="J60" s="40">
        <v>40</v>
      </c>
      <c r="K60" s="2" t="s">
        <v>92</v>
      </c>
      <c r="L60" s="42" t="s">
        <v>63</v>
      </c>
      <c r="M60" s="23">
        <v>46187</v>
      </c>
      <c r="O60" s="43">
        <v>-46187</v>
      </c>
      <c r="P60" s="7">
        <f t="shared" si="1"/>
        <v>46237</v>
      </c>
      <c r="XEH60"/>
      <c r="XEI60"/>
      <c r="XEJ60"/>
    </row>
    <row r="61" s="2" customFormat="1" spans="1:16 16362:16364">
      <c r="A61" s="42" t="s">
        <v>211</v>
      </c>
      <c r="B61" s="42" t="s">
        <v>212</v>
      </c>
      <c r="C61" s="47" t="s">
        <v>213</v>
      </c>
      <c r="E61" s="48" t="s">
        <v>19</v>
      </c>
      <c r="F61" s="49" t="s">
        <v>214</v>
      </c>
      <c r="G61" s="49">
        <v>68050902</v>
      </c>
      <c r="H61" s="2" t="s">
        <v>106</v>
      </c>
      <c r="I61" s="40">
        <v>300</v>
      </c>
      <c r="J61" s="40">
        <v>300</v>
      </c>
      <c r="K61" s="2" t="s">
        <v>62</v>
      </c>
      <c r="L61" s="42" t="s">
        <v>63</v>
      </c>
      <c r="M61" s="23">
        <v>46190</v>
      </c>
      <c r="N61" s="20">
        <v>46226</v>
      </c>
      <c r="O61" s="43">
        <v>36</v>
      </c>
      <c r="P61" s="7">
        <f t="shared" si="1"/>
        <v>46240</v>
      </c>
      <c r="XEH61"/>
      <c r="XEI61"/>
      <c r="XEJ61"/>
    </row>
    <row r="62" s="2" customFormat="1" spans="1:16 16362:16364">
      <c r="A62" s="42" t="s">
        <v>181</v>
      </c>
      <c r="B62" s="42" t="s">
        <v>182</v>
      </c>
      <c r="C62" s="47" t="s">
        <v>183</v>
      </c>
      <c r="E62" s="48" t="s">
        <v>19</v>
      </c>
      <c r="F62" s="49" t="s">
        <v>215</v>
      </c>
      <c r="G62" s="49">
        <v>68051002</v>
      </c>
      <c r="H62" s="2" t="s">
        <v>106</v>
      </c>
      <c r="I62" s="40">
        <v>600</v>
      </c>
      <c r="J62" s="40">
        <v>600</v>
      </c>
      <c r="K62" s="2" t="s">
        <v>62</v>
      </c>
      <c r="L62" s="42" t="s">
        <v>63</v>
      </c>
      <c r="M62" s="23">
        <v>46190</v>
      </c>
      <c r="N62" s="20">
        <v>46226</v>
      </c>
      <c r="O62" s="43">
        <v>36</v>
      </c>
      <c r="P62" s="7">
        <f t="shared" si="1"/>
        <v>46240</v>
      </c>
      <c r="XEH62"/>
      <c r="XEI62"/>
      <c r="XEJ62"/>
    </row>
    <row r="63" s="2" customFormat="1" spans="1:16 16362:16364">
      <c r="A63" s="42" t="s">
        <v>216</v>
      </c>
      <c r="B63" s="42" t="s">
        <v>217</v>
      </c>
      <c r="C63" s="47" t="s">
        <v>218</v>
      </c>
      <c r="E63" s="48" t="s">
        <v>19</v>
      </c>
      <c r="F63" s="49" t="s">
        <v>219</v>
      </c>
      <c r="G63" s="49">
        <v>68051156</v>
      </c>
      <c r="H63" s="2" t="s">
        <v>106</v>
      </c>
      <c r="I63" s="40">
        <v>450</v>
      </c>
      <c r="J63" s="40">
        <v>450</v>
      </c>
      <c r="K63" s="2" t="s">
        <v>62</v>
      </c>
      <c r="L63" s="42" t="s">
        <v>63</v>
      </c>
      <c r="M63" s="23">
        <v>46190</v>
      </c>
      <c r="N63" s="20">
        <v>46226</v>
      </c>
      <c r="O63" s="43">
        <v>36</v>
      </c>
      <c r="P63" s="7">
        <f t="shared" si="1"/>
        <v>46240</v>
      </c>
      <c r="XEH63"/>
      <c r="XEI63"/>
      <c r="XEJ63"/>
    </row>
    <row r="64" s="5" customFormat="1" spans="1:16 16362:16364">
      <c r="A64" s="52" t="s">
        <v>220</v>
      </c>
      <c r="B64" s="23" t="s">
        <v>221</v>
      </c>
      <c r="C64" s="53" t="s">
        <v>222</v>
      </c>
      <c r="D64" s="2"/>
      <c r="E64" s="38" t="s">
        <v>19</v>
      </c>
      <c r="F64" s="54">
        <v>1360083228</v>
      </c>
      <c r="G64" s="27">
        <v>68650611</v>
      </c>
      <c r="H64" s="43" t="s">
        <v>21</v>
      </c>
      <c r="I64" s="43" t="s">
        <v>22</v>
      </c>
      <c r="J64" s="29">
        <v>50</v>
      </c>
      <c r="K64" s="5" t="s">
        <v>57</v>
      </c>
      <c r="L64" s="25" t="s">
        <v>63</v>
      </c>
      <c r="M64" s="55"/>
      <c r="O64" s="43">
        <v>0</v>
      </c>
      <c r="P64" s="7">
        <f t="shared" si="1"/>
        <v>50</v>
      </c>
      <c r="XEH64"/>
      <c r="XEI64"/>
      <c r="XEJ64"/>
    </row>
    <row r="65" s="5" customFormat="1" spans="1:16 16362:16364">
      <c r="A65" s="52" t="s">
        <v>223</v>
      </c>
      <c r="B65" s="23" t="s">
        <v>224</v>
      </c>
      <c r="C65" s="53" t="s">
        <v>225</v>
      </c>
      <c r="D65" s="2"/>
      <c r="E65" s="38" t="s">
        <v>19</v>
      </c>
      <c r="F65" s="56"/>
      <c r="G65" s="27">
        <v>68650611</v>
      </c>
      <c r="H65" s="43" t="s">
        <v>21</v>
      </c>
      <c r="I65" s="43" t="s">
        <v>22</v>
      </c>
      <c r="J65" s="29">
        <v>100</v>
      </c>
      <c r="K65" s="5" t="s">
        <v>57</v>
      </c>
      <c r="L65" s="25" t="s">
        <v>63</v>
      </c>
      <c r="M65" s="57"/>
      <c r="O65" s="43">
        <v>0</v>
      </c>
      <c r="P65" s="7">
        <f t="shared" si="1"/>
        <v>50</v>
      </c>
      <c r="XEH65"/>
      <c r="XEI65"/>
      <c r="XEJ65"/>
    </row>
    <row r="66" s="5" customFormat="1" spans="1:16 16362:16364">
      <c r="A66" s="52" t="s">
        <v>226</v>
      </c>
      <c r="B66" s="23" t="s">
        <v>227</v>
      </c>
      <c r="C66" s="53" t="s">
        <v>228</v>
      </c>
      <c r="D66" s="2"/>
      <c r="E66" s="38" t="s">
        <v>19</v>
      </c>
      <c r="F66" s="56"/>
      <c r="G66" s="27">
        <v>68650611</v>
      </c>
      <c r="H66" s="43" t="s">
        <v>21</v>
      </c>
      <c r="I66" s="43" t="s">
        <v>22</v>
      </c>
      <c r="J66" s="29">
        <v>100</v>
      </c>
      <c r="K66" s="5" t="s">
        <v>57</v>
      </c>
      <c r="L66" s="25" t="s">
        <v>63</v>
      </c>
      <c r="M66" s="57"/>
      <c r="O66" s="43">
        <v>0</v>
      </c>
      <c r="P66" s="7">
        <f t="shared" si="1"/>
        <v>50</v>
      </c>
      <c r="XEH66"/>
      <c r="XEI66"/>
      <c r="XEJ66"/>
    </row>
    <row r="67" s="5" customFormat="1" spans="1:16 16362:16364">
      <c r="A67" s="52" t="s">
        <v>229</v>
      </c>
      <c r="B67" s="23" t="s">
        <v>230</v>
      </c>
      <c r="C67" s="53" t="s">
        <v>231</v>
      </c>
      <c r="D67" s="2"/>
      <c r="E67" s="38" t="s">
        <v>19</v>
      </c>
      <c r="F67" s="58"/>
      <c r="G67" s="27">
        <v>68650611</v>
      </c>
      <c r="H67" s="43" t="s">
        <v>21</v>
      </c>
      <c r="I67" s="43" t="s">
        <v>22</v>
      </c>
      <c r="J67" s="29">
        <v>100</v>
      </c>
      <c r="K67" s="5" t="s">
        <v>57</v>
      </c>
      <c r="L67" s="25" t="s">
        <v>63</v>
      </c>
      <c r="M67" s="57"/>
      <c r="O67" s="43">
        <v>0</v>
      </c>
      <c r="P67" s="7">
        <f t="shared" ref="P67:P98" si="2">M67+50</f>
        <v>50</v>
      </c>
      <c r="XEH67"/>
      <c r="XEI67"/>
      <c r="XEJ67"/>
    </row>
    <row r="68" s="5" customFormat="1" spans="1:16 16362:16364">
      <c r="A68" s="52" t="s">
        <v>232</v>
      </c>
      <c r="B68" s="23" t="s">
        <v>233</v>
      </c>
      <c r="C68" s="53" t="s">
        <v>234</v>
      </c>
      <c r="D68" s="2"/>
      <c r="E68" s="38" t="s">
        <v>19</v>
      </c>
      <c r="F68" s="54">
        <v>1360083227</v>
      </c>
      <c r="G68" s="27">
        <v>68650725</v>
      </c>
      <c r="H68" s="43" t="s">
        <v>21</v>
      </c>
      <c r="I68" s="43" t="s">
        <v>22</v>
      </c>
      <c r="J68" s="29">
        <v>100</v>
      </c>
      <c r="K68" s="5" t="s">
        <v>57</v>
      </c>
      <c r="L68" s="25" t="s">
        <v>63</v>
      </c>
      <c r="M68" s="57"/>
      <c r="O68" s="43">
        <v>0</v>
      </c>
      <c r="P68" s="7">
        <f t="shared" si="2"/>
        <v>50</v>
      </c>
      <c r="XEH68"/>
      <c r="XEI68"/>
      <c r="XEJ68"/>
    </row>
    <row r="69" s="5" customFormat="1" spans="1:16 16362:16364">
      <c r="A69" s="52" t="s">
        <v>235</v>
      </c>
      <c r="B69" s="23" t="s">
        <v>88</v>
      </c>
      <c r="C69" s="53" t="s">
        <v>89</v>
      </c>
      <c r="D69" s="2"/>
      <c r="E69" s="38" t="s">
        <v>19</v>
      </c>
      <c r="F69" s="56"/>
      <c r="G69" s="27">
        <v>68650725</v>
      </c>
      <c r="H69" s="43" t="s">
        <v>21</v>
      </c>
      <c r="I69" s="43" t="s">
        <v>22</v>
      </c>
      <c r="J69" s="29">
        <v>100</v>
      </c>
      <c r="K69" s="2" t="s">
        <v>57</v>
      </c>
      <c r="L69" s="25" t="s">
        <v>63</v>
      </c>
      <c r="M69" s="57"/>
      <c r="O69" s="43">
        <v>0</v>
      </c>
      <c r="P69" s="7">
        <f t="shared" si="2"/>
        <v>50</v>
      </c>
      <c r="XEH69"/>
      <c r="XEI69"/>
      <c r="XEJ69"/>
    </row>
    <row r="70" s="5" customFormat="1" spans="1:16 16362:16364">
      <c r="A70" s="52" t="s">
        <v>236</v>
      </c>
      <c r="B70" s="23" t="s">
        <v>97</v>
      </c>
      <c r="C70" s="53" t="s">
        <v>98</v>
      </c>
      <c r="D70" s="2"/>
      <c r="E70" s="38" t="s">
        <v>19</v>
      </c>
      <c r="F70" s="58"/>
      <c r="G70" s="27">
        <v>68650725</v>
      </c>
      <c r="H70" s="43" t="s">
        <v>21</v>
      </c>
      <c r="I70" s="43" t="s">
        <v>22</v>
      </c>
      <c r="J70" s="29">
        <v>100</v>
      </c>
      <c r="K70" s="2" t="s">
        <v>57</v>
      </c>
      <c r="L70" s="25" t="s">
        <v>63</v>
      </c>
      <c r="M70" s="59"/>
      <c r="O70" s="43">
        <v>0</v>
      </c>
      <c r="P70" s="7">
        <f t="shared" si="2"/>
        <v>50</v>
      </c>
      <c r="XEH70"/>
      <c r="XEI70"/>
      <c r="XEJ70"/>
    </row>
    <row r="71" s="5" customFormat="1" spans="1:16 16362:16364">
      <c r="A71" s="52" t="s">
        <v>237</v>
      </c>
      <c r="B71" s="23" t="s">
        <v>238</v>
      </c>
      <c r="C71" s="53" t="s">
        <v>239</v>
      </c>
      <c r="D71" s="2"/>
      <c r="E71" s="38" t="s">
        <v>19</v>
      </c>
      <c r="F71" s="30" t="s">
        <v>240</v>
      </c>
      <c r="G71" s="60">
        <v>68651079</v>
      </c>
      <c r="H71" s="2" t="s">
        <v>106</v>
      </c>
      <c r="I71" s="29">
        <v>130</v>
      </c>
      <c r="J71" s="29">
        <v>130</v>
      </c>
      <c r="K71" s="2" t="s">
        <v>62</v>
      </c>
      <c r="L71" s="25" t="s">
        <v>63</v>
      </c>
      <c r="M71" s="23">
        <v>46176</v>
      </c>
      <c r="N71" s="61">
        <v>46209</v>
      </c>
      <c r="O71" s="43">
        <v>33</v>
      </c>
      <c r="P71" s="7">
        <f t="shared" si="2"/>
        <v>46226</v>
      </c>
      <c r="XEH71"/>
      <c r="XEI71"/>
      <c r="XEJ71"/>
    </row>
    <row r="72" s="5" customFormat="1" spans="1:16 16362:16364">
      <c r="A72" s="52" t="s">
        <v>185</v>
      </c>
      <c r="B72" s="23" t="s">
        <v>186</v>
      </c>
      <c r="C72" s="53" t="s">
        <v>187</v>
      </c>
      <c r="D72" s="2"/>
      <c r="E72" s="38" t="s">
        <v>19</v>
      </c>
      <c r="F72" s="62"/>
      <c r="G72" s="60">
        <v>68651079</v>
      </c>
      <c r="H72" s="2" t="s">
        <v>106</v>
      </c>
      <c r="I72" s="29">
        <v>130</v>
      </c>
      <c r="J72" s="29">
        <v>130</v>
      </c>
      <c r="K72" s="2" t="s">
        <v>62</v>
      </c>
      <c r="L72" s="25" t="s">
        <v>63</v>
      </c>
      <c r="M72" s="23">
        <v>46176</v>
      </c>
      <c r="N72" s="61">
        <v>46209</v>
      </c>
      <c r="O72" s="43">
        <v>33</v>
      </c>
      <c r="P72" s="7">
        <f t="shared" si="2"/>
        <v>46226</v>
      </c>
      <c r="XEH72"/>
      <c r="XEI72"/>
      <c r="XEJ72"/>
    </row>
    <row r="73" s="5" customFormat="1" spans="1:16 16362:16364">
      <c r="A73" s="52" t="s">
        <v>188</v>
      </c>
      <c r="B73" s="23" t="s">
        <v>189</v>
      </c>
      <c r="C73" s="53" t="s">
        <v>190</v>
      </c>
      <c r="D73" s="2"/>
      <c r="E73" s="38" t="s">
        <v>19</v>
      </c>
      <c r="F73" s="62"/>
      <c r="G73" s="60">
        <v>68651079</v>
      </c>
      <c r="H73" s="2" t="s">
        <v>106</v>
      </c>
      <c r="I73" s="29">
        <v>130</v>
      </c>
      <c r="J73" s="29">
        <v>130</v>
      </c>
      <c r="K73" s="2" t="s">
        <v>62</v>
      </c>
      <c r="L73" s="25" t="s">
        <v>63</v>
      </c>
      <c r="M73" s="23">
        <v>46176</v>
      </c>
      <c r="N73" s="61">
        <v>46209</v>
      </c>
      <c r="O73" s="43">
        <v>33</v>
      </c>
      <c r="P73" s="7">
        <f t="shared" si="2"/>
        <v>46226</v>
      </c>
      <c r="XEH73"/>
      <c r="XEI73"/>
      <c r="XEJ73"/>
    </row>
    <row r="74" s="5" customFormat="1" spans="1:16 16362:16364">
      <c r="A74" s="52" t="s">
        <v>241</v>
      </c>
      <c r="B74" s="23" t="s">
        <v>242</v>
      </c>
      <c r="C74" s="53" t="s">
        <v>243</v>
      </c>
      <c r="D74" s="2"/>
      <c r="E74" s="38" t="s">
        <v>19</v>
      </c>
      <c r="F74" s="62"/>
      <c r="G74" s="60">
        <v>68651079</v>
      </c>
      <c r="H74" s="2" t="s">
        <v>106</v>
      </c>
      <c r="I74" s="29">
        <v>64</v>
      </c>
      <c r="J74" s="29">
        <v>64</v>
      </c>
      <c r="K74" s="2" t="s">
        <v>62</v>
      </c>
      <c r="L74" s="25" t="s">
        <v>63</v>
      </c>
      <c r="M74" s="23">
        <v>46176</v>
      </c>
      <c r="N74" s="61">
        <v>46209</v>
      </c>
      <c r="O74" s="43">
        <v>33</v>
      </c>
      <c r="P74" s="7">
        <f t="shared" si="2"/>
        <v>46226</v>
      </c>
      <c r="XEH74"/>
      <c r="XEI74"/>
      <c r="XEJ74"/>
    </row>
    <row r="75" s="5" customFormat="1" spans="1:16 16362:16364">
      <c r="A75" s="52" t="s">
        <v>241</v>
      </c>
      <c r="B75" s="23" t="s">
        <v>242</v>
      </c>
      <c r="C75" s="53" t="s">
        <v>243</v>
      </c>
      <c r="D75" s="2"/>
      <c r="E75" s="38" t="s">
        <v>19</v>
      </c>
      <c r="F75" s="62"/>
      <c r="G75" s="60">
        <v>68651079</v>
      </c>
      <c r="H75" s="2" t="s">
        <v>106</v>
      </c>
      <c r="I75" s="29">
        <v>66</v>
      </c>
      <c r="J75" s="29">
        <v>66</v>
      </c>
      <c r="K75" s="2" t="s">
        <v>62</v>
      </c>
      <c r="L75" s="25" t="s">
        <v>63</v>
      </c>
      <c r="M75" s="23">
        <v>46176</v>
      </c>
      <c r="N75" s="61">
        <v>46209</v>
      </c>
      <c r="O75" s="43">
        <v>33</v>
      </c>
      <c r="P75" s="7">
        <f t="shared" si="2"/>
        <v>46226</v>
      </c>
      <c r="XEH75"/>
      <c r="XEI75"/>
      <c r="XEJ75"/>
    </row>
    <row r="76" s="5" customFormat="1" spans="1:16 16362:16364">
      <c r="A76" s="52" t="s">
        <v>244</v>
      </c>
      <c r="B76" s="23" t="s">
        <v>245</v>
      </c>
      <c r="C76" s="53" t="s">
        <v>246</v>
      </c>
      <c r="D76" s="2"/>
      <c r="E76" s="38" t="s">
        <v>19</v>
      </c>
      <c r="F76" s="30" t="s">
        <v>247</v>
      </c>
      <c r="G76" s="60">
        <v>68651261</v>
      </c>
      <c r="H76" s="2" t="s">
        <v>106</v>
      </c>
      <c r="I76" s="29">
        <v>65</v>
      </c>
      <c r="J76" s="29">
        <v>65</v>
      </c>
      <c r="K76" s="2" t="s">
        <v>62</v>
      </c>
      <c r="L76" s="25" t="s">
        <v>63</v>
      </c>
      <c r="M76" s="23">
        <v>46176</v>
      </c>
      <c r="N76" s="61">
        <v>46209</v>
      </c>
      <c r="O76" s="43">
        <v>33</v>
      </c>
      <c r="P76" s="7">
        <f t="shared" si="2"/>
        <v>46226</v>
      </c>
      <c r="XEH76"/>
      <c r="XEI76"/>
      <c r="XEJ76"/>
    </row>
    <row r="77" s="5" customFormat="1" spans="1:16 16362:16364">
      <c r="A77" s="52" t="s">
        <v>248</v>
      </c>
      <c r="B77" s="23" t="s">
        <v>249</v>
      </c>
      <c r="C77" s="53" t="s">
        <v>250</v>
      </c>
      <c r="D77" s="2"/>
      <c r="E77" s="38" t="s">
        <v>19</v>
      </c>
      <c r="F77" s="62"/>
      <c r="G77" s="60">
        <v>68651261</v>
      </c>
      <c r="H77" s="2" t="s">
        <v>106</v>
      </c>
      <c r="I77" s="29">
        <v>65</v>
      </c>
      <c r="J77" s="29">
        <v>65</v>
      </c>
      <c r="K77" s="2" t="s">
        <v>62</v>
      </c>
      <c r="L77" s="25" t="s">
        <v>63</v>
      </c>
      <c r="M77" s="23">
        <v>46176</v>
      </c>
      <c r="N77" s="61">
        <v>46209</v>
      </c>
      <c r="O77" s="43">
        <v>33</v>
      </c>
      <c r="P77" s="7">
        <f t="shared" si="2"/>
        <v>46226</v>
      </c>
      <c r="XEH77"/>
      <c r="XEI77"/>
      <c r="XEJ77"/>
    </row>
    <row r="78" s="5" customFormat="1" spans="1:16 16362:16364">
      <c r="A78" s="52" t="s">
        <v>251</v>
      </c>
      <c r="B78" s="23" t="s">
        <v>252</v>
      </c>
      <c r="C78" s="53" t="s">
        <v>253</v>
      </c>
      <c r="D78" s="2"/>
      <c r="E78" s="38" t="s">
        <v>19</v>
      </c>
      <c r="F78" s="62"/>
      <c r="G78" s="60">
        <v>68651261</v>
      </c>
      <c r="H78" s="2" t="s">
        <v>106</v>
      </c>
      <c r="I78" s="29">
        <v>65</v>
      </c>
      <c r="J78" s="29">
        <v>65</v>
      </c>
      <c r="K78" s="2" t="s">
        <v>62</v>
      </c>
      <c r="L78" s="25" t="s">
        <v>63</v>
      </c>
      <c r="M78" s="23">
        <v>46176</v>
      </c>
      <c r="N78" s="61">
        <v>46209</v>
      </c>
      <c r="O78" s="43">
        <v>33</v>
      </c>
      <c r="P78" s="7">
        <f t="shared" si="2"/>
        <v>46226</v>
      </c>
      <c r="XEH78"/>
      <c r="XEI78"/>
      <c r="XEJ78"/>
    </row>
    <row r="79" s="5" customFormat="1" spans="1:16 16362:16364">
      <c r="A79" s="52" t="s">
        <v>254</v>
      </c>
      <c r="B79" s="23" t="s">
        <v>255</v>
      </c>
      <c r="C79" s="53" t="s">
        <v>256</v>
      </c>
      <c r="D79" s="2"/>
      <c r="E79" s="38" t="s">
        <v>19</v>
      </c>
      <c r="F79" s="62"/>
      <c r="G79" s="60">
        <v>68651261</v>
      </c>
      <c r="H79" s="2" t="s">
        <v>106</v>
      </c>
      <c r="I79" s="29">
        <v>32</v>
      </c>
      <c r="J79" s="29">
        <v>32</v>
      </c>
      <c r="K79" s="2" t="s">
        <v>62</v>
      </c>
      <c r="L79" s="25" t="s">
        <v>63</v>
      </c>
      <c r="M79" s="23">
        <v>46176</v>
      </c>
      <c r="N79" s="61">
        <v>46209</v>
      </c>
      <c r="O79" s="43">
        <v>33</v>
      </c>
      <c r="P79" s="7">
        <f t="shared" si="2"/>
        <v>46226</v>
      </c>
      <c r="XEH79"/>
      <c r="XEI79"/>
      <c r="XEJ79"/>
    </row>
    <row r="80" s="5" customFormat="1" spans="1:16 16362:16364">
      <c r="A80" s="52" t="s">
        <v>254</v>
      </c>
      <c r="B80" s="23" t="s">
        <v>255</v>
      </c>
      <c r="C80" s="53" t="s">
        <v>256</v>
      </c>
      <c r="D80" s="2"/>
      <c r="E80" s="38" t="s">
        <v>19</v>
      </c>
      <c r="F80" s="62"/>
      <c r="G80" s="60">
        <v>68651261</v>
      </c>
      <c r="H80" s="2" t="s">
        <v>106</v>
      </c>
      <c r="I80" s="29">
        <v>33</v>
      </c>
      <c r="J80" s="29">
        <v>33</v>
      </c>
      <c r="K80" s="2" t="s">
        <v>62</v>
      </c>
      <c r="L80" s="25" t="s">
        <v>63</v>
      </c>
      <c r="M80" s="23">
        <v>46176</v>
      </c>
      <c r="N80" s="61">
        <v>46209</v>
      </c>
      <c r="O80" s="43">
        <v>33</v>
      </c>
      <c r="P80" s="7">
        <f t="shared" si="2"/>
        <v>46226</v>
      </c>
      <c r="XEH80"/>
      <c r="XEI80"/>
      <c r="XEJ80"/>
    </row>
    <row r="81" s="5" customFormat="1" spans="1:16 16362:16364">
      <c r="A81" s="52" t="s">
        <v>257</v>
      </c>
      <c r="B81" s="23" t="s">
        <v>258</v>
      </c>
      <c r="C81" s="53" t="s">
        <v>259</v>
      </c>
      <c r="D81" s="2"/>
      <c r="E81" s="38" t="s">
        <v>19</v>
      </c>
      <c r="F81" s="62"/>
      <c r="G81" s="60">
        <v>68651261</v>
      </c>
      <c r="H81" s="2" t="s">
        <v>106</v>
      </c>
      <c r="I81" s="29">
        <v>65</v>
      </c>
      <c r="J81" s="29">
        <v>65</v>
      </c>
      <c r="K81" s="2" t="s">
        <v>62</v>
      </c>
      <c r="L81" s="25" t="s">
        <v>63</v>
      </c>
      <c r="M81" s="23">
        <v>46176</v>
      </c>
      <c r="N81" s="61">
        <v>46209</v>
      </c>
      <c r="O81" s="43">
        <v>33</v>
      </c>
      <c r="P81" s="7">
        <f t="shared" si="2"/>
        <v>46226</v>
      </c>
      <c r="XEH81"/>
      <c r="XEI81"/>
      <c r="XEJ81"/>
    </row>
    <row r="82" s="5" customFormat="1" spans="1:16 16362:16364">
      <c r="A82" s="52" t="s">
        <v>260</v>
      </c>
      <c r="B82" s="23" t="s">
        <v>261</v>
      </c>
      <c r="C82" s="53" t="s">
        <v>262</v>
      </c>
      <c r="D82" s="2"/>
      <c r="E82" s="38" t="s">
        <v>19</v>
      </c>
      <c r="F82" s="62"/>
      <c r="G82" s="60">
        <v>68651261</v>
      </c>
      <c r="H82" s="2" t="s">
        <v>106</v>
      </c>
      <c r="I82" s="29">
        <v>65</v>
      </c>
      <c r="J82" s="29">
        <v>65</v>
      </c>
      <c r="K82" s="2" t="s">
        <v>62</v>
      </c>
      <c r="L82" s="25" t="s">
        <v>63</v>
      </c>
      <c r="M82" s="23">
        <v>46176</v>
      </c>
      <c r="N82" s="61">
        <v>46209</v>
      </c>
      <c r="O82" s="43">
        <v>33</v>
      </c>
      <c r="P82" s="7">
        <f t="shared" si="2"/>
        <v>46226</v>
      </c>
      <c r="XEH82"/>
      <c r="XEI82"/>
      <c r="XEJ82"/>
    </row>
    <row r="83" s="5" customFormat="1" spans="1:16 16362:16364">
      <c r="A83" s="52" t="s">
        <v>263</v>
      </c>
      <c r="B83" s="23" t="s">
        <v>264</v>
      </c>
      <c r="C83" s="53" t="s">
        <v>265</v>
      </c>
      <c r="D83" s="2"/>
      <c r="E83" s="38" t="s">
        <v>19</v>
      </c>
      <c r="F83" s="62"/>
      <c r="G83" s="60">
        <v>68651261</v>
      </c>
      <c r="H83" s="2" t="s">
        <v>106</v>
      </c>
      <c r="I83" s="29">
        <v>65</v>
      </c>
      <c r="J83" s="29">
        <v>65</v>
      </c>
      <c r="K83" s="2" t="s">
        <v>62</v>
      </c>
      <c r="L83" s="25" t="s">
        <v>63</v>
      </c>
      <c r="M83" s="23">
        <v>46176</v>
      </c>
      <c r="N83" s="61">
        <v>46209</v>
      </c>
      <c r="O83" s="43">
        <v>33</v>
      </c>
      <c r="P83" s="7">
        <f t="shared" si="2"/>
        <v>46226</v>
      </c>
      <c r="XEH83"/>
      <c r="XEI83"/>
      <c r="XEJ83"/>
    </row>
    <row r="84" s="5" customFormat="1" spans="1:16 16362:16364">
      <c r="A84" s="52" t="s">
        <v>266</v>
      </c>
      <c r="B84" s="23" t="s">
        <v>267</v>
      </c>
      <c r="C84" s="53" t="s">
        <v>268</v>
      </c>
      <c r="D84" s="2"/>
      <c r="E84" s="38" t="s">
        <v>19</v>
      </c>
      <c r="F84" s="62"/>
      <c r="G84" s="60">
        <v>68651261</v>
      </c>
      <c r="H84" s="2" t="s">
        <v>106</v>
      </c>
      <c r="I84" s="29">
        <v>32</v>
      </c>
      <c r="J84" s="29">
        <v>32</v>
      </c>
      <c r="K84" s="2" t="s">
        <v>62</v>
      </c>
      <c r="L84" s="25" t="s">
        <v>63</v>
      </c>
      <c r="M84" s="23">
        <v>46176</v>
      </c>
      <c r="N84" s="61">
        <v>46209</v>
      </c>
      <c r="O84" s="43">
        <v>33</v>
      </c>
      <c r="P84" s="7">
        <f t="shared" si="2"/>
        <v>46226</v>
      </c>
      <c r="XEH84"/>
      <c r="XEI84"/>
      <c r="XEJ84"/>
    </row>
    <row r="85" s="5" customFormat="1" spans="1:16 16362:16364">
      <c r="A85" s="52" t="s">
        <v>266</v>
      </c>
      <c r="B85" s="23" t="s">
        <v>267</v>
      </c>
      <c r="C85" s="53" t="s">
        <v>268</v>
      </c>
      <c r="D85" s="2"/>
      <c r="E85" s="38" t="s">
        <v>19</v>
      </c>
      <c r="F85" s="62"/>
      <c r="G85" s="60">
        <v>68651261</v>
      </c>
      <c r="H85" s="2" t="s">
        <v>106</v>
      </c>
      <c r="I85" s="29">
        <v>33</v>
      </c>
      <c r="J85" s="29">
        <v>33</v>
      </c>
      <c r="K85" s="2" t="s">
        <v>62</v>
      </c>
      <c r="L85" s="25" t="s">
        <v>63</v>
      </c>
      <c r="M85" s="23">
        <v>46176</v>
      </c>
      <c r="N85" s="61">
        <v>46209</v>
      </c>
      <c r="O85" s="43">
        <v>33</v>
      </c>
      <c r="P85" s="7">
        <f t="shared" si="2"/>
        <v>46226</v>
      </c>
      <c r="XEH85"/>
      <c r="XEI85"/>
      <c r="XEJ85"/>
    </row>
    <row r="86" s="5" customFormat="1" spans="1:16 16362:16364">
      <c r="A86" s="52" t="s">
        <v>195</v>
      </c>
      <c r="B86" s="23" t="s">
        <v>196</v>
      </c>
      <c r="C86" s="53" t="s">
        <v>197</v>
      </c>
      <c r="D86" s="2"/>
      <c r="E86" s="38" t="s">
        <v>19</v>
      </c>
      <c r="F86" s="63" t="s">
        <v>269</v>
      </c>
      <c r="G86" s="60">
        <v>69093164</v>
      </c>
      <c r="H86" s="2" t="s">
        <v>106</v>
      </c>
      <c r="I86" s="29">
        <v>40</v>
      </c>
      <c r="J86" s="29">
        <v>40</v>
      </c>
      <c r="K86" s="2" t="s">
        <v>92</v>
      </c>
      <c r="L86" s="25" t="s">
        <v>63</v>
      </c>
      <c r="M86" s="23">
        <v>46184</v>
      </c>
      <c r="N86" s="61">
        <v>46225</v>
      </c>
      <c r="O86" s="43">
        <v>41</v>
      </c>
      <c r="P86" s="7">
        <f t="shared" si="2"/>
        <v>46234</v>
      </c>
      <c r="XEH86"/>
      <c r="XEI86"/>
      <c r="XEJ86"/>
    </row>
    <row r="87" s="5" customFormat="1" spans="1:16 16362:16364">
      <c r="A87" s="52" t="s">
        <v>199</v>
      </c>
      <c r="B87" s="23" t="s">
        <v>200</v>
      </c>
      <c r="C87" s="53" t="s">
        <v>201</v>
      </c>
      <c r="D87" s="2"/>
      <c r="E87" s="38" t="s">
        <v>19</v>
      </c>
      <c r="F87" s="64"/>
      <c r="G87" s="60">
        <v>69093164</v>
      </c>
      <c r="H87" s="2" t="s">
        <v>106</v>
      </c>
      <c r="I87" s="29">
        <v>160</v>
      </c>
      <c r="J87" s="29">
        <v>160</v>
      </c>
      <c r="K87" s="2" t="s">
        <v>92</v>
      </c>
      <c r="L87" s="25" t="s">
        <v>63</v>
      </c>
      <c r="M87" s="23">
        <v>46184</v>
      </c>
      <c r="N87" s="61">
        <v>46225</v>
      </c>
      <c r="O87" s="43">
        <v>41</v>
      </c>
      <c r="P87" s="7">
        <f t="shared" si="2"/>
        <v>46234</v>
      </c>
      <c r="XEH87"/>
      <c r="XEI87"/>
      <c r="XEJ87"/>
    </row>
    <row r="88" s="5" customFormat="1" spans="1:16 16362:16364">
      <c r="A88" s="52" t="s">
        <v>202</v>
      </c>
      <c r="B88" s="23" t="s">
        <v>203</v>
      </c>
      <c r="C88" s="53" t="s">
        <v>204</v>
      </c>
      <c r="D88" s="2"/>
      <c r="E88" s="38" t="s">
        <v>19</v>
      </c>
      <c r="F88" s="64"/>
      <c r="G88" s="60">
        <v>69093164</v>
      </c>
      <c r="H88" s="2" t="s">
        <v>106</v>
      </c>
      <c r="I88" s="29">
        <v>160</v>
      </c>
      <c r="J88" s="29">
        <v>160</v>
      </c>
      <c r="K88" s="2" t="s">
        <v>92</v>
      </c>
      <c r="L88" s="25" t="s">
        <v>63</v>
      </c>
      <c r="M88" s="23">
        <v>46184</v>
      </c>
      <c r="N88" s="61">
        <v>46225</v>
      </c>
      <c r="O88" s="43">
        <v>41</v>
      </c>
      <c r="P88" s="7">
        <f t="shared" si="2"/>
        <v>46234</v>
      </c>
      <c r="XEH88"/>
      <c r="XEI88"/>
      <c r="XEJ88"/>
    </row>
    <row r="89" s="5" customFormat="1" spans="1:16 16362:16364">
      <c r="A89" s="52" t="s">
        <v>205</v>
      </c>
      <c r="B89" s="23" t="s">
        <v>206</v>
      </c>
      <c r="C89" s="53" t="s">
        <v>207</v>
      </c>
      <c r="D89" s="2"/>
      <c r="E89" s="38" t="s">
        <v>19</v>
      </c>
      <c r="F89" s="64"/>
      <c r="G89" s="60">
        <v>69093164</v>
      </c>
      <c r="H89" s="2" t="s">
        <v>106</v>
      </c>
      <c r="I89" s="29">
        <v>80</v>
      </c>
      <c r="J89" s="29">
        <v>80</v>
      </c>
      <c r="K89" s="2" t="s">
        <v>92</v>
      </c>
      <c r="L89" s="25" t="s">
        <v>63</v>
      </c>
      <c r="M89" s="23">
        <v>46184</v>
      </c>
      <c r="N89" s="61">
        <v>46225</v>
      </c>
      <c r="O89" s="43">
        <v>41</v>
      </c>
      <c r="P89" s="7">
        <f t="shared" si="2"/>
        <v>46234</v>
      </c>
      <c r="XEH89"/>
      <c r="XEI89"/>
      <c r="XEJ89"/>
    </row>
    <row r="90" s="5" customFormat="1" spans="1:16 16362:16364">
      <c r="A90" s="52" t="s">
        <v>208</v>
      </c>
      <c r="B90" s="23" t="s">
        <v>209</v>
      </c>
      <c r="C90" s="53" t="s">
        <v>210</v>
      </c>
      <c r="D90" s="2"/>
      <c r="E90" s="38" t="s">
        <v>19</v>
      </c>
      <c r="F90" s="65"/>
      <c r="G90" s="60">
        <v>69093164</v>
      </c>
      <c r="H90" s="2" t="s">
        <v>106</v>
      </c>
      <c r="I90" s="29">
        <v>80</v>
      </c>
      <c r="J90" s="29">
        <v>80</v>
      </c>
      <c r="K90" s="2" t="s">
        <v>92</v>
      </c>
      <c r="L90" s="25" t="s">
        <v>63</v>
      </c>
      <c r="M90" s="23">
        <v>46184</v>
      </c>
      <c r="N90" s="61">
        <v>46225</v>
      </c>
      <c r="O90" s="43">
        <v>41</v>
      </c>
      <c r="P90" s="7">
        <f t="shared" si="2"/>
        <v>46234</v>
      </c>
      <c r="XEH90"/>
      <c r="XEI90"/>
      <c r="XEJ90"/>
    </row>
    <row r="91" s="5" customFormat="1" spans="1:16 16362:16364">
      <c r="A91" s="52" t="s">
        <v>216</v>
      </c>
      <c r="B91" s="23" t="s">
        <v>217</v>
      </c>
      <c r="C91" s="53" t="s">
        <v>218</v>
      </c>
      <c r="D91" s="2"/>
      <c r="E91" s="38" t="s">
        <v>19</v>
      </c>
      <c r="F91" s="30">
        <v>1360084835</v>
      </c>
      <c r="G91" s="30">
        <v>69204421</v>
      </c>
      <c r="H91" s="2" t="s">
        <v>106</v>
      </c>
      <c r="I91" s="29">
        <v>450</v>
      </c>
      <c r="J91" s="29">
        <v>450</v>
      </c>
      <c r="K91" s="2" t="s">
        <v>57</v>
      </c>
      <c r="L91" s="25" t="s">
        <v>63</v>
      </c>
      <c r="M91" s="23">
        <v>46188</v>
      </c>
      <c r="N91" s="61">
        <v>46225</v>
      </c>
      <c r="O91" s="43">
        <v>37</v>
      </c>
      <c r="P91" s="7">
        <f t="shared" si="2"/>
        <v>46238</v>
      </c>
      <c r="XEH91"/>
      <c r="XEI91"/>
      <c r="XEJ91"/>
    </row>
    <row r="92" s="5" customFormat="1" spans="1:16 16362:16364">
      <c r="A92" s="52" t="s">
        <v>216</v>
      </c>
      <c r="B92" s="23" t="s">
        <v>217</v>
      </c>
      <c r="C92" s="53" t="s">
        <v>218</v>
      </c>
      <c r="D92" s="2"/>
      <c r="E92" s="38" t="s">
        <v>19</v>
      </c>
      <c r="F92" s="27" t="s">
        <v>270</v>
      </c>
      <c r="G92" s="27">
        <v>69204431</v>
      </c>
      <c r="H92" s="43" t="s">
        <v>21</v>
      </c>
      <c r="I92" s="29">
        <v>450</v>
      </c>
      <c r="J92" s="29">
        <v>450</v>
      </c>
      <c r="K92" s="2" t="s">
        <v>62</v>
      </c>
      <c r="L92" s="25" t="s">
        <v>63</v>
      </c>
      <c r="M92" s="23">
        <v>46183</v>
      </c>
      <c r="N92" s="61">
        <v>46226</v>
      </c>
      <c r="O92" s="43">
        <v>43</v>
      </c>
      <c r="P92" s="7">
        <f t="shared" si="2"/>
        <v>46233</v>
      </c>
      <c r="XEH92"/>
      <c r="XEI92"/>
      <c r="XEJ92"/>
    </row>
    <row r="93" s="5" customFormat="1" spans="1:16 16362:16364">
      <c r="A93" s="52" t="s">
        <v>191</v>
      </c>
      <c r="B93" s="23" t="s">
        <v>192</v>
      </c>
      <c r="C93" s="53" t="s">
        <v>193</v>
      </c>
      <c r="D93" s="2"/>
      <c r="E93" s="38" t="s">
        <v>19</v>
      </c>
      <c r="F93" s="27">
        <v>1360086419</v>
      </c>
      <c r="G93" s="27">
        <v>69673569</v>
      </c>
      <c r="H93" s="43" t="s">
        <v>21</v>
      </c>
      <c r="I93" s="43" t="s">
        <v>22</v>
      </c>
      <c r="J93" s="29">
        <v>300</v>
      </c>
      <c r="K93" s="40" t="s">
        <v>57</v>
      </c>
      <c r="L93" s="25" t="s">
        <v>63</v>
      </c>
      <c r="M93" s="23">
        <v>46197</v>
      </c>
      <c r="O93" s="43">
        <v>-46197</v>
      </c>
      <c r="P93" s="7">
        <f t="shared" si="2"/>
        <v>46247</v>
      </c>
      <c r="XEH93"/>
      <c r="XEI93"/>
      <c r="XEJ93"/>
    </row>
    <row r="94" s="5" customFormat="1" spans="1:16 16362:16364">
      <c r="A94" s="52" t="s">
        <v>191</v>
      </c>
      <c r="B94" s="23" t="s">
        <v>192</v>
      </c>
      <c r="C94" s="53" t="s">
        <v>193</v>
      </c>
      <c r="D94" s="2"/>
      <c r="E94" s="38" t="s">
        <v>19</v>
      </c>
      <c r="F94" s="27" t="s">
        <v>271</v>
      </c>
      <c r="G94" s="27">
        <v>69673441</v>
      </c>
      <c r="H94" s="43" t="s">
        <v>21</v>
      </c>
      <c r="I94" s="43" t="s">
        <v>22</v>
      </c>
      <c r="J94" s="29">
        <v>300</v>
      </c>
      <c r="K94" s="40" t="s">
        <v>62</v>
      </c>
      <c r="L94" s="25" t="s">
        <v>63</v>
      </c>
      <c r="M94" s="23">
        <v>46190</v>
      </c>
      <c r="O94" s="43">
        <v>-46190</v>
      </c>
      <c r="P94" s="7">
        <f t="shared" si="2"/>
        <v>46240</v>
      </c>
      <c r="XEH94"/>
      <c r="XEI94"/>
      <c r="XEJ94"/>
    </row>
    <row r="95" s="5" customFormat="1" spans="1:16 16362:16364">
      <c r="A95" s="52" t="s">
        <v>177</v>
      </c>
      <c r="B95" s="23" t="s">
        <v>178</v>
      </c>
      <c r="C95" s="53" t="s">
        <v>179</v>
      </c>
      <c r="D95" s="2"/>
      <c r="E95" s="38" t="s">
        <v>19</v>
      </c>
      <c r="F95" s="27">
        <v>1360088218</v>
      </c>
      <c r="G95" s="27">
        <v>70149362</v>
      </c>
      <c r="H95" s="43" t="s">
        <v>21</v>
      </c>
      <c r="I95" s="43" t="s">
        <v>22</v>
      </c>
      <c r="J95" s="29">
        <v>400</v>
      </c>
      <c r="K95" s="40" t="s">
        <v>57</v>
      </c>
      <c r="L95" s="25" t="s">
        <v>63</v>
      </c>
      <c r="M95" s="23">
        <v>46198</v>
      </c>
      <c r="O95" s="43">
        <v>-46198</v>
      </c>
      <c r="P95" s="7">
        <f t="shared" si="2"/>
        <v>46248</v>
      </c>
      <c r="XEH95"/>
      <c r="XEI95"/>
      <c r="XEJ95"/>
    </row>
    <row r="96" s="5" customFormat="1" spans="1:16 16362:16364">
      <c r="A96" s="52" t="s">
        <v>177</v>
      </c>
      <c r="B96" s="23" t="s">
        <v>178</v>
      </c>
      <c r="C96" s="53" t="s">
        <v>179</v>
      </c>
      <c r="D96" s="2"/>
      <c r="E96" s="38" t="s">
        <v>19</v>
      </c>
      <c r="F96" s="27">
        <v>1360088217</v>
      </c>
      <c r="G96" s="27">
        <v>70149448</v>
      </c>
      <c r="H96" s="43" t="s">
        <v>21</v>
      </c>
      <c r="I96" s="43" t="s">
        <v>22</v>
      </c>
      <c r="J96" s="29">
        <v>320</v>
      </c>
      <c r="K96" s="40" t="s">
        <v>57</v>
      </c>
      <c r="L96" s="25" t="s">
        <v>63</v>
      </c>
      <c r="M96" s="23">
        <v>46198</v>
      </c>
      <c r="O96" s="43">
        <v>-46198</v>
      </c>
      <c r="P96" s="7">
        <f t="shared" si="2"/>
        <v>46248</v>
      </c>
      <c r="XEH96"/>
      <c r="XEI96"/>
      <c r="XEJ96"/>
    </row>
    <row r="97" s="5" customFormat="1" spans="1:16 16362:16364">
      <c r="A97" s="52" t="s">
        <v>195</v>
      </c>
      <c r="B97" s="23" t="s">
        <v>196</v>
      </c>
      <c r="C97" s="53" t="s">
        <v>197</v>
      </c>
      <c r="D97" s="2"/>
      <c r="E97" s="38" t="s">
        <v>19</v>
      </c>
      <c r="F97" s="27">
        <v>1360088185</v>
      </c>
      <c r="G97" s="27">
        <v>70149618</v>
      </c>
      <c r="H97" s="43" t="s">
        <v>21</v>
      </c>
      <c r="I97" s="43" t="s">
        <v>22</v>
      </c>
      <c r="J97" s="29">
        <v>40</v>
      </c>
      <c r="K97" s="40" t="s">
        <v>57</v>
      </c>
      <c r="L97" s="25" t="s">
        <v>63</v>
      </c>
      <c r="M97" s="23">
        <v>46198</v>
      </c>
      <c r="O97" s="43">
        <v>-46198</v>
      </c>
      <c r="P97" s="7">
        <f t="shared" si="2"/>
        <v>46248</v>
      </c>
      <c r="XEH97"/>
      <c r="XEI97"/>
      <c r="XEJ97"/>
    </row>
    <row r="98" s="5" customFormat="1" spans="1:16 16362:16364">
      <c r="A98" s="52" t="s">
        <v>199</v>
      </c>
      <c r="B98" s="23" t="s">
        <v>200</v>
      </c>
      <c r="C98" s="53" t="s">
        <v>201</v>
      </c>
      <c r="D98" s="2"/>
      <c r="E98" s="38" t="s">
        <v>19</v>
      </c>
      <c r="F98" s="62"/>
      <c r="G98" s="27">
        <v>70149618</v>
      </c>
      <c r="H98" s="43" t="s">
        <v>21</v>
      </c>
      <c r="I98" s="43" t="s">
        <v>22</v>
      </c>
      <c r="J98" s="29">
        <v>160</v>
      </c>
      <c r="K98" s="40" t="s">
        <v>57</v>
      </c>
      <c r="L98" s="25" t="s">
        <v>63</v>
      </c>
      <c r="M98" s="23">
        <v>46198</v>
      </c>
      <c r="O98" s="43">
        <v>-46198</v>
      </c>
      <c r="P98" s="7">
        <f t="shared" si="2"/>
        <v>46248</v>
      </c>
      <c r="XEH98"/>
      <c r="XEI98"/>
      <c r="XEJ98"/>
    </row>
    <row r="99" s="5" customFormat="1" spans="1:16 16362:16364">
      <c r="A99" s="52" t="s">
        <v>202</v>
      </c>
      <c r="B99" s="23" t="s">
        <v>203</v>
      </c>
      <c r="C99" s="53" t="s">
        <v>204</v>
      </c>
      <c r="D99" s="2"/>
      <c r="E99" s="38" t="s">
        <v>19</v>
      </c>
      <c r="F99" s="62"/>
      <c r="G99" s="27">
        <v>70149618</v>
      </c>
      <c r="H99" s="43" t="s">
        <v>21</v>
      </c>
      <c r="I99" s="43" t="s">
        <v>22</v>
      </c>
      <c r="J99" s="29">
        <v>160</v>
      </c>
      <c r="K99" s="40" t="s">
        <v>57</v>
      </c>
      <c r="L99" s="25" t="s">
        <v>63</v>
      </c>
      <c r="M99" s="23">
        <v>46198</v>
      </c>
      <c r="O99" s="43">
        <v>-46198</v>
      </c>
      <c r="P99" s="7">
        <f>M99+50</f>
        <v>46248</v>
      </c>
      <c r="XEH99"/>
      <c r="XEI99"/>
      <c r="XEJ99"/>
    </row>
    <row r="100" s="5" customFormat="1" spans="1:16 16362:16364">
      <c r="A100" s="52" t="s">
        <v>205</v>
      </c>
      <c r="B100" s="23" t="s">
        <v>206</v>
      </c>
      <c r="C100" s="53" t="s">
        <v>207</v>
      </c>
      <c r="D100" s="2"/>
      <c r="E100" s="38" t="s">
        <v>19</v>
      </c>
      <c r="F100" s="62"/>
      <c r="G100" s="27">
        <v>70149618</v>
      </c>
      <c r="H100" s="43" t="s">
        <v>21</v>
      </c>
      <c r="I100" s="43" t="s">
        <v>22</v>
      </c>
      <c r="J100" s="29">
        <v>80</v>
      </c>
      <c r="K100" s="40" t="s">
        <v>57</v>
      </c>
      <c r="L100" s="25" t="s">
        <v>63</v>
      </c>
      <c r="M100" s="23">
        <v>46198</v>
      </c>
      <c r="O100" s="43">
        <v>-46198</v>
      </c>
      <c r="P100" s="7">
        <f>M100+50</f>
        <v>46248</v>
      </c>
      <c r="XEH100"/>
      <c r="XEI100"/>
      <c r="XEJ100"/>
    </row>
    <row r="101" s="5" customFormat="1" spans="1:16 16362:16364">
      <c r="A101" s="52" t="s">
        <v>208</v>
      </c>
      <c r="B101" s="23" t="s">
        <v>209</v>
      </c>
      <c r="C101" s="53" t="s">
        <v>210</v>
      </c>
      <c r="D101" s="2"/>
      <c r="E101" s="38" t="s">
        <v>19</v>
      </c>
      <c r="F101" s="62"/>
      <c r="G101" s="27">
        <v>70149618</v>
      </c>
      <c r="H101" s="43" t="s">
        <v>21</v>
      </c>
      <c r="I101" s="43" t="s">
        <v>22</v>
      </c>
      <c r="J101" s="29">
        <v>40</v>
      </c>
      <c r="K101" s="40" t="s">
        <v>57</v>
      </c>
      <c r="L101" s="25" t="s">
        <v>63</v>
      </c>
      <c r="M101" s="23">
        <v>46198</v>
      </c>
      <c r="O101" s="43">
        <v>-46198</v>
      </c>
      <c r="P101" s="7">
        <f>M101+50</f>
        <v>46248</v>
      </c>
      <c r="XEH101"/>
      <c r="XEI101"/>
      <c r="XEJ101"/>
    </row>
    <row r="102" s="5" customFormat="1" spans="1:16 16362:16364">
      <c r="A102" s="52" t="s">
        <v>195</v>
      </c>
      <c r="B102" s="23" t="s">
        <v>196</v>
      </c>
      <c r="C102" s="53" t="s">
        <v>197</v>
      </c>
      <c r="D102" s="2"/>
      <c r="E102" s="38" t="s">
        <v>19</v>
      </c>
      <c r="F102" s="60" t="s">
        <v>272</v>
      </c>
      <c r="G102" s="27">
        <v>70149213</v>
      </c>
      <c r="H102" s="43" t="s">
        <v>21</v>
      </c>
      <c r="I102" s="43" t="s">
        <v>22</v>
      </c>
      <c r="J102" s="29">
        <v>80</v>
      </c>
      <c r="K102" s="40" t="s">
        <v>62</v>
      </c>
      <c r="L102" s="25" t="s">
        <v>63</v>
      </c>
      <c r="M102" s="25">
        <v>46197</v>
      </c>
      <c r="O102" s="43">
        <v>-46197</v>
      </c>
      <c r="P102" s="7">
        <f>M102+50</f>
        <v>46247</v>
      </c>
      <c r="XEH102"/>
      <c r="XEI102"/>
      <c r="XEJ102"/>
    </row>
    <row r="103" s="5" customFormat="1" spans="1:16 16362:16364">
      <c r="A103" s="52" t="s">
        <v>199</v>
      </c>
      <c r="B103" s="23" t="s">
        <v>200</v>
      </c>
      <c r="C103" s="53" t="s">
        <v>201</v>
      </c>
      <c r="D103" s="2"/>
      <c r="E103" s="38" t="s">
        <v>19</v>
      </c>
      <c r="F103" s="66"/>
      <c r="G103" s="27">
        <v>70149213</v>
      </c>
      <c r="H103" s="43" t="s">
        <v>21</v>
      </c>
      <c r="I103" s="43" t="s">
        <v>22</v>
      </c>
      <c r="J103" s="29">
        <v>200</v>
      </c>
      <c r="K103" s="40" t="s">
        <v>62</v>
      </c>
      <c r="L103" s="25" t="s">
        <v>63</v>
      </c>
      <c r="M103" s="25">
        <v>46197</v>
      </c>
      <c r="O103" s="43">
        <v>-46197</v>
      </c>
      <c r="P103" s="7">
        <f>M103+50</f>
        <v>46247</v>
      </c>
      <c r="XEH103"/>
      <c r="XEI103"/>
      <c r="XEJ103"/>
    </row>
    <row r="104" s="5" customFormat="1" spans="1:16 16362:16364">
      <c r="A104" s="52" t="s">
        <v>202</v>
      </c>
      <c r="B104" s="23" t="s">
        <v>203</v>
      </c>
      <c r="C104" s="53" t="s">
        <v>204</v>
      </c>
      <c r="D104" s="2"/>
      <c r="E104" s="38" t="s">
        <v>19</v>
      </c>
      <c r="F104" s="66"/>
      <c r="G104" s="27">
        <v>70149213</v>
      </c>
      <c r="H104" s="43" t="s">
        <v>21</v>
      </c>
      <c r="I104" s="43" t="s">
        <v>22</v>
      </c>
      <c r="J104" s="29">
        <v>160</v>
      </c>
      <c r="K104" s="40" t="s">
        <v>62</v>
      </c>
      <c r="L104" s="25" t="s">
        <v>63</v>
      </c>
      <c r="M104" s="25">
        <v>46197</v>
      </c>
      <c r="O104" s="43">
        <v>-46197</v>
      </c>
      <c r="P104" s="7">
        <f>M104+50</f>
        <v>46247</v>
      </c>
      <c r="XEH104"/>
      <c r="XEI104"/>
      <c r="XEJ104"/>
    </row>
    <row r="105" s="5" customFormat="1" spans="1:16 16362:16364">
      <c r="A105" s="52" t="s">
        <v>205</v>
      </c>
      <c r="B105" s="23" t="s">
        <v>206</v>
      </c>
      <c r="C105" s="53" t="s">
        <v>207</v>
      </c>
      <c r="D105" s="2"/>
      <c r="E105" s="38" t="s">
        <v>19</v>
      </c>
      <c r="F105" s="66"/>
      <c r="G105" s="27">
        <v>70149213</v>
      </c>
      <c r="H105" s="43" t="s">
        <v>21</v>
      </c>
      <c r="I105" s="43" t="s">
        <v>22</v>
      </c>
      <c r="J105" s="29">
        <v>120</v>
      </c>
      <c r="K105" s="40" t="s">
        <v>62</v>
      </c>
      <c r="L105" s="25" t="s">
        <v>63</v>
      </c>
      <c r="M105" s="25">
        <v>46197</v>
      </c>
      <c r="O105" s="43">
        <v>-46197</v>
      </c>
      <c r="P105" s="7">
        <f>M105+50</f>
        <v>46247</v>
      </c>
      <c r="XEH105"/>
      <c r="XEI105"/>
      <c r="XEJ105"/>
    </row>
    <row r="106" s="5" customFormat="1" spans="1:16 16362:16364">
      <c r="A106" s="52" t="s">
        <v>208</v>
      </c>
      <c r="B106" s="23" t="s">
        <v>209</v>
      </c>
      <c r="C106" s="53" t="s">
        <v>210</v>
      </c>
      <c r="D106" s="2"/>
      <c r="E106" s="38" t="s">
        <v>19</v>
      </c>
      <c r="F106" s="66"/>
      <c r="G106" s="27">
        <v>70149213</v>
      </c>
      <c r="H106" s="43" t="s">
        <v>21</v>
      </c>
      <c r="I106" s="43" t="s">
        <v>22</v>
      </c>
      <c r="J106" s="29">
        <v>80</v>
      </c>
      <c r="K106" s="40" t="s">
        <v>62</v>
      </c>
      <c r="L106" s="25" t="s">
        <v>63</v>
      </c>
      <c r="M106" s="25">
        <v>46197</v>
      </c>
      <c r="O106" s="43">
        <v>-46197</v>
      </c>
      <c r="P106" s="7">
        <f>M106+50</f>
        <v>46247</v>
      </c>
      <c r="XEH106"/>
      <c r="XEI106"/>
      <c r="XEJ106"/>
    </row>
    <row r="107" s="5" customFormat="1" spans="1:16 16362:16364">
      <c r="A107" s="52" t="s">
        <v>273</v>
      </c>
      <c r="B107" s="23" t="s">
        <v>274</v>
      </c>
      <c r="C107" s="53" t="s">
        <v>275</v>
      </c>
      <c r="D107" s="2"/>
      <c r="E107" s="38" t="s">
        <v>19</v>
      </c>
      <c r="F107" s="34">
        <v>1360088883</v>
      </c>
      <c r="G107" s="27">
        <v>70545662</v>
      </c>
      <c r="H107" s="43" t="s">
        <v>21</v>
      </c>
      <c r="I107" s="43" t="s">
        <v>22</v>
      </c>
      <c r="J107" s="29">
        <v>300</v>
      </c>
      <c r="K107" s="40" t="s">
        <v>57</v>
      </c>
      <c r="L107" s="25" t="s">
        <v>63</v>
      </c>
      <c r="M107" s="55"/>
      <c r="O107" s="43">
        <v>0</v>
      </c>
      <c r="P107" s="7">
        <f>M107+50</f>
        <v>50</v>
      </c>
      <c r="XEH107"/>
      <c r="XEI107"/>
      <c r="XEJ107"/>
    </row>
    <row r="108" s="5" customFormat="1" spans="1:16 16362:16364">
      <c r="A108" s="52" t="s">
        <v>276</v>
      </c>
      <c r="B108" s="23" t="s">
        <v>277</v>
      </c>
      <c r="C108" s="53" t="s">
        <v>278</v>
      </c>
      <c r="D108" s="2"/>
      <c r="E108" s="38" t="s">
        <v>19</v>
      </c>
      <c r="F108" s="34">
        <v>1360089337</v>
      </c>
      <c r="G108" s="27">
        <v>70708395</v>
      </c>
      <c r="H108" s="43" t="s">
        <v>21</v>
      </c>
      <c r="I108" s="43" t="s">
        <v>22</v>
      </c>
      <c r="J108" s="29">
        <v>320</v>
      </c>
      <c r="K108" s="40" t="s">
        <v>57</v>
      </c>
      <c r="L108" s="25" t="s">
        <v>63</v>
      </c>
      <c r="M108" s="57"/>
      <c r="O108" s="43">
        <v>0</v>
      </c>
      <c r="P108" s="7">
        <f>M108+50</f>
        <v>50</v>
      </c>
      <c r="XEH108"/>
      <c r="XEI108"/>
      <c r="XEJ108"/>
    </row>
    <row r="109" s="5" customFormat="1" spans="1:16 16362:16364">
      <c r="A109" s="52" t="s">
        <v>279</v>
      </c>
      <c r="B109" s="23" t="s">
        <v>280</v>
      </c>
      <c r="C109" s="53" t="s">
        <v>281</v>
      </c>
      <c r="D109" s="2"/>
      <c r="E109" s="38" t="s">
        <v>19</v>
      </c>
      <c r="F109" s="34">
        <v>1360089336</v>
      </c>
      <c r="G109" s="27">
        <v>70707477</v>
      </c>
      <c r="H109" s="43" t="s">
        <v>21</v>
      </c>
      <c r="I109" s="43" t="s">
        <v>22</v>
      </c>
      <c r="J109" s="29">
        <v>225</v>
      </c>
      <c r="K109" s="40" t="s">
        <v>57</v>
      </c>
      <c r="L109" s="25" t="s">
        <v>63</v>
      </c>
      <c r="M109" s="57"/>
      <c r="O109" s="43">
        <v>0</v>
      </c>
      <c r="P109" s="7">
        <f>M109+50</f>
        <v>50</v>
      </c>
      <c r="XEH109"/>
      <c r="XEI109"/>
      <c r="XEJ109"/>
    </row>
    <row r="110" s="5" customFormat="1" spans="1:16 16362:16364">
      <c r="A110" s="52" t="s">
        <v>216</v>
      </c>
      <c r="B110" s="23" t="s">
        <v>217</v>
      </c>
      <c r="C110" s="53" t="s">
        <v>218</v>
      </c>
      <c r="D110" s="2"/>
      <c r="E110" s="38" t="s">
        <v>19</v>
      </c>
      <c r="F110" s="34">
        <v>1360088881</v>
      </c>
      <c r="G110" s="27">
        <v>70545861</v>
      </c>
      <c r="H110" s="43" t="s">
        <v>21</v>
      </c>
      <c r="I110" s="43" t="s">
        <v>22</v>
      </c>
      <c r="J110" s="29">
        <v>450</v>
      </c>
      <c r="K110" s="40" t="s">
        <v>57</v>
      </c>
      <c r="L110" s="25" t="s">
        <v>63</v>
      </c>
      <c r="M110" s="57"/>
      <c r="O110" s="43">
        <v>0</v>
      </c>
      <c r="P110" s="7">
        <f>M110+50</f>
        <v>50</v>
      </c>
      <c r="XEH110"/>
      <c r="XEI110"/>
      <c r="XEJ110"/>
    </row>
    <row r="111" s="5" customFormat="1" spans="1:16 16362:16364">
      <c r="A111" s="52" t="s">
        <v>273</v>
      </c>
      <c r="B111" s="23" t="s">
        <v>274</v>
      </c>
      <c r="C111" s="53" t="s">
        <v>275</v>
      </c>
      <c r="D111" s="2"/>
      <c r="E111" s="38" t="s">
        <v>19</v>
      </c>
      <c r="F111" s="67">
        <v>1360088892</v>
      </c>
      <c r="G111" s="67">
        <v>70545713</v>
      </c>
      <c r="H111" s="43" t="s">
        <v>21</v>
      </c>
      <c r="I111" s="43" t="s">
        <v>22</v>
      </c>
      <c r="J111" s="29">
        <v>300</v>
      </c>
      <c r="K111" s="40" t="s">
        <v>57</v>
      </c>
      <c r="L111" s="25" t="s">
        <v>63</v>
      </c>
      <c r="M111" s="57"/>
      <c r="O111" s="43">
        <v>0</v>
      </c>
      <c r="P111" s="7">
        <f>M111+50</f>
        <v>50</v>
      </c>
      <c r="XEH111"/>
      <c r="XEI111"/>
      <c r="XEJ111"/>
    </row>
    <row r="112" s="5" customFormat="1" spans="1:16 16362:16364">
      <c r="A112" s="52" t="s">
        <v>216</v>
      </c>
      <c r="B112" s="23" t="s">
        <v>217</v>
      </c>
      <c r="C112" s="53" t="s">
        <v>218</v>
      </c>
      <c r="D112" s="43"/>
      <c r="E112" s="68" t="s">
        <v>19</v>
      </c>
      <c r="F112" s="67">
        <v>1360088889</v>
      </c>
      <c r="G112" s="67">
        <v>70545837</v>
      </c>
      <c r="H112" s="43" t="s">
        <v>21</v>
      </c>
      <c r="I112" s="43" t="s">
        <v>22</v>
      </c>
      <c r="J112" s="29">
        <v>450</v>
      </c>
      <c r="K112" s="69" t="s">
        <v>57</v>
      </c>
      <c r="L112" s="70" t="s">
        <v>63</v>
      </c>
      <c r="M112" s="71"/>
      <c r="O112" s="43">
        <v>0</v>
      </c>
      <c r="P112" s="7">
        <f>M112+50</f>
        <v>50</v>
      </c>
      <c r="XEH112"/>
      <c r="XEI112"/>
      <c r="XEJ112"/>
    </row>
    <row r="113" s="5" customFormat="1" spans="1:16 16362:16364">
      <c r="A113" s="52" t="s">
        <v>273</v>
      </c>
      <c r="B113" s="23" t="s">
        <v>274</v>
      </c>
      <c r="C113" s="53" t="s">
        <v>275</v>
      </c>
      <c r="D113" s="2"/>
      <c r="E113" s="72" t="s">
        <v>19</v>
      </c>
      <c r="F113" s="73">
        <v>1360091193</v>
      </c>
      <c r="G113" s="67">
        <v>71043400</v>
      </c>
      <c r="H113" s="43" t="s">
        <v>21</v>
      </c>
      <c r="I113" s="43" t="s">
        <v>22</v>
      </c>
      <c r="J113" s="53">
        <v>300</v>
      </c>
      <c r="K113" s="40" t="s">
        <v>57</v>
      </c>
      <c r="L113" s="42" t="s">
        <v>63</v>
      </c>
      <c r="M113" s="2"/>
      <c r="N113" s="2"/>
      <c r="O113" s="2"/>
      <c r="P113" s="2"/>
      <c r="XEH113"/>
      <c r="XEI113"/>
      <c r="XEJ113"/>
    </row>
    <row r="114" s="5" customFormat="1" spans="1:16 16362:16364">
      <c r="A114" s="52" t="s">
        <v>279</v>
      </c>
      <c r="B114" s="23" t="s">
        <v>280</v>
      </c>
      <c r="C114" s="53" t="s">
        <v>281</v>
      </c>
      <c r="D114" s="2"/>
      <c r="E114" s="72" t="s">
        <v>19</v>
      </c>
      <c r="F114" s="73">
        <v>1360091140</v>
      </c>
      <c r="G114" s="67">
        <v>71043491</v>
      </c>
      <c r="H114" s="43" t="s">
        <v>21</v>
      </c>
      <c r="I114" s="43" t="s">
        <v>22</v>
      </c>
      <c r="J114" s="53">
        <v>180</v>
      </c>
      <c r="K114" s="40" t="s">
        <v>57</v>
      </c>
      <c r="L114" s="42" t="s">
        <v>63</v>
      </c>
      <c r="M114" s="2"/>
      <c r="N114" s="2"/>
      <c r="O114" s="2"/>
      <c r="P114" s="2"/>
      <c r="XEH114"/>
      <c r="XEI114"/>
      <c r="XEJ114"/>
    </row>
    <row r="115" s="5" customFormat="1" spans="1:16 16362:16364">
      <c r="A115" s="74" t="s">
        <v>282</v>
      </c>
      <c r="B115" s="75" t="s">
        <v>283</v>
      </c>
      <c r="C115" s="76" t="s">
        <v>284</v>
      </c>
      <c r="D115" s="2"/>
      <c r="E115" s="72" t="s">
        <v>19</v>
      </c>
      <c r="F115" s="77">
        <v>1360092547</v>
      </c>
      <c r="G115" s="67">
        <v>71631277</v>
      </c>
      <c r="H115" s="43" t="s">
        <v>21</v>
      </c>
      <c r="I115" s="43" t="s">
        <v>22</v>
      </c>
      <c r="J115" s="76">
        <v>450</v>
      </c>
      <c r="K115" s="40" t="s">
        <v>57</v>
      </c>
      <c r="L115" s="42" t="s">
        <v>63</v>
      </c>
      <c r="M115" s="2"/>
      <c r="N115" s="2"/>
      <c r="O115" s="2"/>
      <c r="P115" s="2"/>
      <c r="XEH115"/>
      <c r="XEI115"/>
      <c r="XEJ115"/>
    </row>
    <row r="116" s="5" customFormat="1" spans="1:16 16362:16364">
      <c r="A116" s="74" t="s">
        <v>191</v>
      </c>
      <c r="B116" s="75" t="s">
        <v>192</v>
      </c>
      <c r="C116" s="76" t="s">
        <v>193</v>
      </c>
      <c r="D116" s="2"/>
      <c r="E116" s="72" t="s">
        <v>19</v>
      </c>
      <c r="F116" s="77">
        <v>1360092542</v>
      </c>
      <c r="G116" s="67">
        <v>71631466</v>
      </c>
      <c r="H116" s="43" t="s">
        <v>21</v>
      </c>
      <c r="I116" s="43" t="s">
        <v>22</v>
      </c>
      <c r="J116" s="76">
        <v>300</v>
      </c>
      <c r="K116" s="40" t="s">
        <v>57</v>
      </c>
      <c r="L116" s="42" t="s">
        <v>63</v>
      </c>
      <c r="M116" s="2"/>
      <c r="N116" s="2"/>
      <c r="O116" s="2"/>
      <c r="P116" s="2"/>
      <c r="XEH116"/>
      <c r="XEI116"/>
      <c r="XEJ116"/>
    </row>
    <row r="117" s="5" customFormat="1" spans="1:16 16362:16364">
      <c r="A117" s="74" t="s">
        <v>237</v>
      </c>
      <c r="B117" s="75" t="s">
        <v>238</v>
      </c>
      <c r="C117" s="76" t="s">
        <v>239</v>
      </c>
      <c r="D117" s="2"/>
      <c r="E117" s="72" t="s">
        <v>19</v>
      </c>
      <c r="F117" s="77">
        <v>1360092595</v>
      </c>
      <c r="G117" s="67">
        <v>71646850</v>
      </c>
      <c r="H117" s="43" t="s">
        <v>21</v>
      </c>
      <c r="I117" s="43" t="s">
        <v>22</v>
      </c>
      <c r="J117" s="76">
        <v>65</v>
      </c>
      <c r="K117" s="40" t="s">
        <v>57</v>
      </c>
      <c r="L117" s="42" t="s">
        <v>63</v>
      </c>
      <c r="M117" s="2"/>
      <c r="N117" s="2"/>
      <c r="O117" s="2"/>
      <c r="P117" s="2"/>
      <c r="XEH117"/>
      <c r="XEI117"/>
      <c r="XEJ117"/>
    </row>
    <row r="118" s="5" customFormat="1" spans="1:16 16362:16364">
      <c r="A118" s="74" t="s">
        <v>185</v>
      </c>
      <c r="B118" s="75" t="s">
        <v>186</v>
      </c>
      <c r="C118" s="76" t="s">
        <v>187</v>
      </c>
      <c r="D118" s="2"/>
      <c r="E118" s="72" t="s">
        <v>19</v>
      </c>
      <c r="F118" s="62"/>
      <c r="G118" s="67">
        <v>71646850</v>
      </c>
      <c r="H118" s="43" t="s">
        <v>21</v>
      </c>
      <c r="I118" s="43" t="s">
        <v>22</v>
      </c>
      <c r="J118" s="76">
        <v>65</v>
      </c>
      <c r="K118" s="40" t="s">
        <v>57</v>
      </c>
      <c r="L118" s="42" t="s">
        <v>63</v>
      </c>
      <c r="M118" s="2"/>
      <c r="N118" s="2"/>
      <c r="O118" s="2"/>
      <c r="P118" s="2"/>
      <c r="XEH118"/>
      <c r="XEI118"/>
      <c r="XEJ118"/>
    </row>
    <row r="119" s="5" customFormat="1" spans="1:16 16362:16364">
      <c r="A119" s="74" t="s">
        <v>188</v>
      </c>
      <c r="B119" s="75" t="s">
        <v>189</v>
      </c>
      <c r="C119" s="76" t="s">
        <v>190</v>
      </c>
      <c r="D119" s="2"/>
      <c r="E119" s="72" t="s">
        <v>19</v>
      </c>
      <c r="F119" s="62"/>
      <c r="G119" s="67">
        <v>71646850</v>
      </c>
      <c r="H119" s="43" t="s">
        <v>21</v>
      </c>
      <c r="I119" s="43" t="s">
        <v>22</v>
      </c>
      <c r="J119" s="76">
        <v>65</v>
      </c>
      <c r="K119" s="40" t="s">
        <v>57</v>
      </c>
      <c r="L119" s="42" t="s">
        <v>63</v>
      </c>
      <c r="M119" s="2"/>
      <c r="N119" s="2"/>
      <c r="O119" s="2"/>
      <c r="P119" s="2"/>
      <c r="XEH119"/>
      <c r="XEI119"/>
      <c r="XEJ119"/>
    </row>
    <row r="120" s="5" customFormat="1" spans="1:16 16362:16364">
      <c r="A120" s="74" t="s">
        <v>241</v>
      </c>
      <c r="B120" s="75" t="s">
        <v>242</v>
      </c>
      <c r="C120" s="76" t="s">
        <v>243</v>
      </c>
      <c r="D120" s="2"/>
      <c r="E120" s="72" t="s">
        <v>19</v>
      </c>
      <c r="F120" s="62"/>
      <c r="G120" s="67">
        <v>71646850</v>
      </c>
      <c r="H120" s="43" t="s">
        <v>21</v>
      </c>
      <c r="I120" s="43" t="s">
        <v>22</v>
      </c>
      <c r="J120" s="76">
        <v>65</v>
      </c>
      <c r="K120" s="40" t="s">
        <v>57</v>
      </c>
      <c r="L120" s="42" t="s">
        <v>63</v>
      </c>
      <c r="M120" s="2"/>
      <c r="N120" s="2"/>
      <c r="O120" s="2"/>
      <c r="P120" s="2"/>
      <c r="XEH120"/>
      <c r="XEI120"/>
      <c r="XEJ120"/>
    </row>
    <row r="121" s="5" customFormat="1" spans="1:16 16362:16364">
      <c r="A121" s="74" t="s">
        <v>244</v>
      </c>
      <c r="B121" s="75" t="s">
        <v>245</v>
      </c>
      <c r="C121" s="76" t="s">
        <v>246</v>
      </c>
      <c r="D121" s="2"/>
      <c r="E121" s="72" t="s">
        <v>19</v>
      </c>
      <c r="F121" s="62"/>
      <c r="G121" s="67">
        <v>71646850</v>
      </c>
      <c r="H121" s="43" t="s">
        <v>21</v>
      </c>
      <c r="I121" s="43" t="s">
        <v>22</v>
      </c>
      <c r="J121" s="76">
        <v>65</v>
      </c>
      <c r="K121" s="40" t="s">
        <v>57</v>
      </c>
      <c r="L121" s="42" t="s">
        <v>63</v>
      </c>
      <c r="M121" s="2"/>
      <c r="N121" s="2"/>
      <c r="O121" s="2"/>
      <c r="P121" s="2"/>
      <c r="XEH121"/>
      <c r="XEI121"/>
      <c r="XEJ121"/>
    </row>
    <row r="122" s="5" customFormat="1" spans="1:16 16362:16364">
      <c r="A122" s="74" t="s">
        <v>248</v>
      </c>
      <c r="B122" s="75" t="s">
        <v>249</v>
      </c>
      <c r="C122" s="76" t="s">
        <v>250</v>
      </c>
      <c r="D122" s="2"/>
      <c r="E122" s="72" t="s">
        <v>19</v>
      </c>
      <c r="F122" s="62"/>
      <c r="G122" s="67">
        <v>71646850</v>
      </c>
      <c r="H122" s="43" t="s">
        <v>21</v>
      </c>
      <c r="I122" s="43" t="s">
        <v>22</v>
      </c>
      <c r="J122" s="76">
        <v>65</v>
      </c>
      <c r="K122" s="40" t="s">
        <v>57</v>
      </c>
      <c r="L122" s="42" t="s">
        <v>63</v>
      </c>
      <c r="M122" s="2"/>
      <c r="N122" s="2"/>
      <c r="O122" s="2"/>
      <c r="P122" s="2"/>
      <c r="XEH122"/>
      <c r="XEI122"/>
      <c r="XEJ122"/>
    </row>
    <row r="123" s="5" customFormat="1" spans="1:16 16362:16364">
      <c r="A123" s="74" t="s">
        <v>251</v>
      </c>
      <c r="B123" s="75" t="s">
        <v>252</v>
      </c>
      <c r="C123" s="76" t="s">
        <v>253</v>
      </c>
      <c r="D123" s="2"/>
      <c r="E123" s="72" t="s">
        <v>19</v>
      </c>
      <c r="F123" s="62"/>
      <c r="G123" s="67">
        <v>71646850</v>
      </c>
      <c r="H123" s="43" t="s">
        <v>21</v>
      </c>
      <c r="I123" s="43" t="s">
        <v>22</v>
      </c>
      <c r="J123" s="76">
        <v>65</v>
      </c>
      <c r="K123" s="40" t="s">
        <v>57</v>
      </c>
      <c r="L123" s="42" t="s">
        <v>63</v>
      </c>
      <c r="M123" s="2"/>
      <c r="N123" s="2"/>
      <c r="O123" s="2"/>
      <c r="P123" s="2"/>
      <c r="XEH123"/>
      <c r="XEI123"/>
      <c r="XEJ123"/>
    </row>
    <row r="124" s="5" customFormat="1" spans="1:16 16362:16364">
      <c r="A124" s="74" t="s">
        <v>254</v>
      </c>
      <c r="B124" s="75" t="s">
        <v>255</v>
      </c>
      <c r="C124" s="76" t="s">
        <v>256</v>
      </c>
      <c r="D124" s="2"/>
      <c r="E124" s="72" t="s">
        <v>19</v>
      </c>
      <c r="F124" s="62"/>
      <c r="G124" s="67">
        <v>71646850</v>
      </c>
      <c r="H124" s="43" t="s">
        <v>21</v>
      </c>
      <c r="I124" s="43" t="s">
        <v>22</v>
      </c>
      <c r="J124" s="76">
        <v>65</v>
      </c>
      <c r="K124" s="40" t="s">
        <v>57</v>
      </c>
      <c r="L124" s="42" t="s">
        <v>63</v>
      </c>
      <c r="M124" s="2"/>
      <c r="N124" s="2"/>
      <c r="O124" s="2"/>
      <c r="P124" s="2"/>
      <c r="XEH124"/>
      <c r="XEI124"/>
      <c r="XEJ124"/>
    </row>
    <row r="125" s="5" customFormat="1" spans="1:16 16362:16364">
      <c r="A125" s="74" t="s">
        <v>257</v>
      </c>
      <c r="B125" s="75" t="s">
        <v>258</v>
      </c>
      <c r="C125" s="76" t="s">
        <v>259</v>
      </c>
      <c r="D125" s="2"/>
      <c r="E125" s="72" t="s">
        <v>19</v>
      </c>
      <c r="F125" s="62"/>
      <c r="G125" s="67">
        <v>71646850</v>
      </c>
      <c r="H125" s="43" t="s">
        <v>21</v>
      </c>
      <c r="I125" s="43" t="s">
        <v>22</v>
      </c>
      <c r="J125" s="76">
        <v>65</v>
      </c>
      <c r="K125" s="40" t="s">
        <v>57</v>
      </c>
      <c r="L125" s="42" t="s">
        <v>63</v>
      </c>
      <c r="M125" s="2"/>
      <c r="N125" s="2"/>
      <c r="O125" s="2"/>
      <c r="P125" s="2"/>
      <c r="XEH125"/>
      <c r="XEI125"/>
      <c r="XEJ125"/>
    </row>
    <row r="126" s="5" customFormat="1" spans="1:16 16362:16364">
      <c r="A126" s="74" t="s">
        <v>260</v>
      </c>
      <c r="B126" s="75" t="s">
        <v>261</v>
      </c>
      <c r="C126" s="76" t="s">
        <v>262</v>
      </c>
      <c r="D126" s="2"/>
      <c r="E126" s="72" t="s">
        <v>19</v>
      </c>
      <c r="F126" s="62"/>
      <c r="G126" s="67">
        <v>71646850</v>
      </c>
      <c r="H126" s="43" t="s">
        <v>21</v>
      </c>
      <c r="I126" s="43" t="s">
        <v>22</v>
      </c>
      <c r="J126" s="76">
        <v>65</v>
      </c>
      <c r="K126" s="40" t="s">
        <v>57</v>
      </c>
      <c r="L126" s="42" t="s">
        <v>63</v>
      </c>
      <c r="M126" s="2"/>
      <c r="N126" s="2"/>
      <c r="O126" s="2"/>
      <c r="P126" s="2"/>
      <c r="XEH126"/>
      <c r="XEI126"/>
      <c r="XEJ126"/>
    </row>
    <row r="127" s="5" customFormat="1" spans="1:16 16362:16364">
      <c r="A127" s="74" t="s">
        <v>263</v>
      </c>
      <c r="B127" s="75" t="s">
        <v>264</v>
      </c>
      <c r="C127" s="76" t="s">
        <v>265</v>
      </c>
      <c r="D127" s="2"/>
      <c r="E127" s="72" t="s">
        <v>19</v>
      </c>
      <c r="F127" s="62"/>
      <c r="G127" s="67">
        <v>71646850</v>
      </c>
      <c r="H127" s="43" t="s">
        <v>21</v>
      </c>
      <c r="I127" s="43" t="s">
        <v>22</v>
      </c>
      <c r="J127" s="76">
        <v>65</v>
      </c>
      <c r="K127" s="40" t="s">
        <v>57</v>
      </c>
      <c r="L127" s="42" t="s">
        <v>63</v>
      </c>
      <c r="M127" s="2"/>
      <c r="N127" s="2"/>
      <c r="O127" s="2"/>
      <c r="P127" s="2"/>
      <c r="XEH127"/>
      <c r="XEI127"/>
      <c r="XEJ127"/>
    </row>
    <row r="128" s="5" customFormat="1" spans="1:16 16362:16364">
      <c r="A128" s="74" t="s">
        <v>266</v>
      </c>
      <c r="B128" s="75" t="s">
        <v>267</v>
      </c>
      <c r="C128" s="76" t="s">
        <v>268</v>
      </c>
      <c r="D128" s="2"/>
      <c r="E128" s="72" t="s">
        <v>19</v>
      </c>
      <c r="F128" s="62"/>
      <c r="G128" s="67">
        <v>71646850</v>
      </c>
      <c r="H128" s="43" t="s">
        <v>21</v>
      </c>
      <c r="I128" s="43" t="s">
        <v>22</v>
      </c>
      <c r="J128" s="76">
        <v>65</v>
      </c>
      <c r="K128" s="40" t="s">
        <v>57</v>
      </c>
      <c r="L128" s="42" t="s">
        <v>63</v>
      </c>
      <c r="M128" s="2"/>
      <c r="N128" s="2"/>
      <c r="O128" s="2"/>
      <c r="P128" s="2"/>
      <c r="XEH128"/>
      <c r="XEI128"/>
      <c r="XEJ128"/>
    </row>
    <row r="129" s="5" customFormat="1" spans="1:16 16362:16364">
      <c r="A129" s="74" t="s">
        <v>282</v>
      </c>
      <c r="B129" s="75" t="s">
        <v>283</v>
      </c>
      <c r="C129" s="76" t="s">
        <v>284</v>
      </c>
      <c r="D129" s="2"/>
      <c r="E129" s="72" t="s">
        <v>19</v>
      </c>
      <c r="F129" s="77" t="s">
        <v>285</v>
      </c>
      <c r="G129" s="67">
        <v>71631354</v>
      </c>
      <c r="H129" s="43" t="s">
        <v>21</v>
      </c>
      <c r="I129" s="43" t="s">
        <v>22</v>
      </c>
      <c r="J129" s="76">
        <v>450</v>
      </c>
      <c r="K129" s="40" t="s">
        <v>92</v>
      </c>
      <c r="L129" s="42" t="s">
        <v>63</v>
      </c>
      <c r="M129" s="2"/>
      <c r="N129" s="2"/>
      <c r="O129" s="2"/>
      <c r="P129" s="2"/>
      <c r="XEH129"/>
      <c r="XEI129"/>
      <c r="XEJ129"/>
    </row>
    <row r="130" s="5" customFormat="1" spans="1:16 16362:16364">
      <c r="A130" s="74" t="s">
        <v>191</v>
      </c>
      <c r="B130" s="75" t="s">
        <v>192</v>
      </c>
      <c r="C130" s="76" t="s">
        <v>193</v>
      </c>
      <c r="D130" s="2"/>
      <c r="E130" s="72" t="s">
        <v>19</v>
      </c>
      <c r="F130" s="77" t="s">
        <v>286</v>
      </c>
      <c r="G130" s="67">
        <v>71631530</v>
      </c>
      <c r="H130" s="43" t="s">
        <v>21</v>
      </c>
      <c r="I130" s="43" t="s">
        <v>22</v>
      </c>
      <c r="J130" s="76">
        <v>200</v>
      </c>
      <c r="K130" s="40" t="s">
        <v>92</v>
      </c>
      <c r="L130" s="42" t="s">
        <v>63</v>
      </c>
      <c r="M130" s="2"/>
      <c r="N130" s="2"/>
      <c r="O130" s="2"/>
      <c r="P130" s="2"/>
      <c r="XEH130"/>
      <c r="XEI130"/>
      <c r="XEJ130"/>
    </row>
    <row r="131" s="5" customFormat="1" spans="1:16 16362:16364">
      <c r="A131" s="74" t="s">
        <v>177</v>
      </c>
      <c r="B131" s="75" t="s">
        <v>178</v>
      </c>
      <c r="C131" s="76" t="s">
        <v>179</v>
      </c>
      <c r="D131" s="2"/>
      <c r="E131" s="72" t="s">
        <v>19</v>
      </c>
      <c r="F131" s="77" t="s">
        <v>287</v>
      </c>
      <c r="G131" s="67">
        <v>71631651</v>
      </c>
      <c r="H131" s="43" t="s">
        <v>21</v>
      </c>
      <c r="I131" s="43" t="s">
        <v>22</v>
      </c>
      <c r="J131" s="76">
        <v>360</v>
      </c>
      <c r="K131" s="40" t="s">
        <v>92</v>
      </c>
      <c r="L131" s="42" t="s">
        <v>63</v>
      </c>
      <c r="M131" s="2"/>
      <c r="N131" s="2"/>
      <c r="O131" s="2"/>
      <c r="P131" s="2"/>
      <c r="XEH131"/>
      <c r="XEI131"/>
      <c r="XEJ131"/>
    </row>
    <row r="132" s="6" customFormat="1" spans="1:16 16362:16364">
      <c r="G132" s="78"/>
      <c r="XEH132"/>
      <c r="XEI132"/>
      <c r="XEJ132"/>
    </row>
    <row r="133" s="2" customFormat="1" spans="1:16 16362:16364">
      <c r="A133" s="79" t="s">
        <v>288</v>
      </c>
      <c r="B133" s="80" t="s">
        <v>274</v>
      </c>
      <c r="C133" s="81" t="s">
        <v>275</v>
      </c>
      <c r="D133" s="82"/>
      <c r="E133" s="82"/>
      <c r="F133" s="82"/>
      <c r="G133" s="83">
        <v>46170</v>
      </c>
      <c r="H133" s="2" t="s">
        <v>289</v>
      </c>
      <c r="I133" s="82"/>
      <c r="J133" s="82">
        <v>3000</v>
      </c>
      <c r="M133" s="83">
        <v>46170</v>
      </c>
      <c r="N133" s="7"/>
      <c r="P133" s="7"/>
      <c r="XEH133"/>
      <c r="XEI133"/>
      <c r="XEJ133"/>
    </row>
    <row r="134" s="2" customFormat="1" spans="1:16 16362:16364">
      <c r="A134" s="84" t="s">
        <v>216</v>
      </c>
      <c r="B134" s="80" t="s">
        <v>217</v>
      </c>
      <c r="C134" s="81" t="s">
        <v>218</v>
      </c>
      <c r="D134" s="82"/>
      <c r="E134" s="82"/>
      <c r="F134" s="82"/>
      <c r="G134" s="83">
        <v>46170</v>
      </c>
      <c r="H134" s="2" t="s">
        <v>289</v>
      </c>
      <c r="I134" s="82"/>
      <c r="J134" s="82">
        <v>2700</v>
      </c>
      <c r="M134" s="83">
        <v>46170</v>
      </c>
      <c r="N134" s="7"/>
      <c r="P134" s="7"/>
      <c r="XEH134"/>
      <c r="XEI134"/>
      <c r="XEJ134"/>
    </row>
    <row r="135" s="2" customFormat="1" spans="1:16 16362:16364">
      <c r="A135" s="84" t="s">
        <v>191</v>
      </c>
      <c r="B135" s="80" t="s">
        <v>192</v>
      </c>
      <c r="C135" s="81" t="s">
        <v>193</v>
      </c>
      <c r="D135" s="82"/>
      <c r="E135" s="82"/>
      <c r="F135" s="82"/>
      <c r="G135" s="83">
        <v>46170</v>
      </c>
      <c r="H135" s="2" t="s">
        <v>289</v>
      </c>
      <c r="I135" s="82"/>
      <c r="J135" s="82">
        <v>1200</v>
      </c>
      <c r="M135" s="83">
        <v>46170</v>
      </c>
      <c r="N135" s="7"/>
      <c r="P135" s="7"/>
      <c r="XEH135"/>
      <c r="XEI135"/>
      <c r="XEJ135"/>
    </row>
    <row r="136" s="2" customFormat="1" spans="1:16 16362:16364">
      <c r="A136" s="79" t="s">
        <v>290</v>
      </c>
      <c r="B136" s="80" t="s">
        <v>178</v>
      </c>
      <c r="C136" s="81" t="s">
        <v>179</v>
      </c>
      <c r="E136" s="82"/>
      <c r="F136" s="82"/>
      <c r="G136" s="82"/>
      <c r="H136" s="2" t="s">
        <v>289</v>
      </c>
      <c r="I136" s="82"/>
      <c r="J136" s="80">
        <v>2760</v>
      </c>
      <c r="M136" s="83">
        <v>46170</v>
      </c>
      <c r="N136" s="7"/>
      <c r="P136" s="7"/>
      <c r="XEH136"/>
      <c r="XEI136"/>
      <c r="XEJ136"/>
    </row>
    <row r="137" s="2" customFormat="1" spans="1:16 16362:16364">
      <c r="A137" s="81" t="s">
        <v>237</v>
      </c>
      <c r="B137" s="81" t="s">
        <v>238</v>
      </c>
      <c r="C137" s="81" t="s">
        <v>239</v>
      </c>
      <c r="E137" s="85"/>
      <c r="F137" s="85"/>
      <c r="G137" s="85"/>
      <c r="H137" s="2" t="s">
        <v>289</v>
      </c>
      <c r="I137" s="85"/>
      <c r="J137" s="86">
        <v>390</v>
      </c>
      <c r="M137" s="83">
        <v>46170</v>
      </c>
      <c r="N137" s="7"/>
      <c r="P137" s="7"/>
      <c r="XEH137"/>
      <c r="XEI137"/>
      <c r="XEJ137"/>
    </row>
    <row r="138" s="2" customFormat="1" spans="1:16 16362:16364">
      <c r="A138" s="81" t="s">
        <v>185</v>
      </c>
      <c r="B138" s="81" t="s">
        <v>186</v>
      </c>
      <c r="C138" s="81" t="s">
        <v>187</v>
      </c>
      <c r="E138" s="85"/>
      <c r="F138" s="85"/>
      <c r="G138" s="85"/>
      <c r="H138" s="2" t="s">
        <v>289</v>
      </c>
      <c r="I138" s="85"/>
      <c r="J138" s="86">
        <v>390</v>
      </c>
      <c r="M138" s="83">
        <v>46170</v>
      </c>
      <c r="N138" s="7"/>
      <c r="P138" s="7"/>
      <c r="XEH138"/>
      <c r="XEI138"/>
      <c r="XEJ138"/>
    </row>
    <row r="139" s="2" customFormat="1" spans="1:16 16362:16364">
      <c r="A139" s="81" t="s">
        <v>188</v>
      </c>
      <c r="B139" s="81" t="s">
        <v>189</v>
      </c>
      <c r="C139" s="81" t="s">
        <v>190</v>
      </c>
      <c r="E139" s="85"/>
      <c r="F139" s="85"/>
      <c r="G139" s="85"/>
      <c r="H139" s="2" t="s">
        <v>289</v>
      </c>
      <c r="I139" s="85"/>
      <c r="J139" s="86">
        <v>390</v>
      </c>
      <c r="M139" s="83">
        <v>46170</v>
      </c>
      <c r="N139" s="7"/>
      <c r="P139" s="7"/>
      <c r="XEH139"/>
      <c r="XEI139"/>
      <c r="XEJ139"/>
    </row>
    <row r="140" s="2" customFormat="1" spans="1:16 16362:16364">
      <c r="A140" s="81" t="s">
        <v>241</v>
      </c>
      <c r="B140" s="81" t="s">
        <v>242</v>
      </c>
      <c r="C140" s="81" t="s">
        <v>243</v>
      </c>
      <c r="E140" s="85"/>
      <c r="F140" s="85"/>
      <c r="G140" s="85"/>
      <c r="H140" s="2" t="s">
        <v>289</v>
      </c>
      <c r="I140" s="85"/>
      <c r="J140" s="86">
        <v>390</v>
      </c>
      <c r="M140" s="83">
        <v>46170</v>
      </c>
      <c r="N140" s="7"/>
      <c r="P140" s="7"/>
      <c r="XEH140"/>
      <c r="XEI140"/>
      <c r="XEJ140"/>
    </row>
    <row r="141" s="2" customFormat="1" spans="1:16 16362:16364">
      <c r="A141" s="81" t="s">
        <v>244</v>
      </c>
      <c r="B141" s="81" t="s">
        <v>245</v>
      </c>
      <c r="C141" s="81" t="s">
        <v>246</v>
      </c>
      <c r="E141" s="85"/>
      <c r="F141" s="85"/>
      <c r="G141" s="85"/>
      <c r="H141" s="2" t="s">
        <v>289</v>
      </c>
      <c r="I141" s="85"/>
      <c r="J141" s="86">
        <v>260</v>
      </c>
      <c r="M141" s="83">
        <v>46170</v>
      </c>
      <c r="N141" s="7"/>
      <c r="P141" s="7"/>
      <c r="XEH141"/>
      <c r="XEI141"/>
      <c r="XEJ141"/>
    </row>
    <row r="142" s="2" customFormat="1" spans="1:16 16362:16364">
      <c r="A142" s="81" t="s">
        <v>248</v>
      </c>
      <c r="B142" s="81" t="s">
        <v>249</v>
      </c>
      <c r="C142" s="81" t="s">
        <v>250</v>
      </c>
      <c r="E142" s="85"/>
      <c r="F142" s="85"/>
      <c r="G142" s="85"/>
      <c r="H142" s="2" t="s">
        <v>289</v>
      </c>
      <c r="I142" s="85"/>
      <c r="J142" s="86">
        <v>390</v>
      </c>
      <c r="M142" s="83">
        <v>46170</v>
      </c>
      <c r="N142" s="7"/>
      <c r="P142" s="7"/>
      <c r="XEH142"/>
      <c r="XEI142"/>
      <c r="XEJ142"/>
    </row>
    <row r="143" s="2" customFormat="1" spans="1:16 16362:16364">
      <c r="A143" s="81" t="s">
        <v>251</v>
      </c>
      <c r="B143" s="81" t="s">
        <v>252</v>
      </c>
      <c r="C143" s="81" t="s">
        <v>253</v>
      </c>
      <c r="E143" s="85"/>
      <c r="F143" s="85"/>
      <c r="G143" s="85"/>
      <c r="H143" s="2" t="s">
        <v>289</v>
      </c>
      <c r="I143" s="85"/>
      <c r="J143" s="86">
        <v>260</v>
      </c>
      <c r="M143" s="83">
        <v>46170</v>
      </c>
      <c r="N143" s="7"/>
      <c r="P143" s="7"/>
      <c r="XEH143"/>
      <c r="XEI143"/>
      <c r="XEJ143"/>
    </row>
    <row r="144" s="2" customFormat="1" spans="1:16 16362:16364">
      <c r="A144" s="81" t="s">
        <v>254</v>
      </c>
      <c r="B144" s="81" t="s">
        <v>255</v>
      </c>
      <c r="C144" s="81" t="s">
        <v>256</v>
      </c>
      <c r="E144" s="85"/>
      <c r="F144" s="85"/>
      <c r="G144" s="85"/>
      <c r="H144" s="2" t="s">
        <v>289</v>
      </c>
      <c r="I144" s="85"/>
      <c r="J144" s="86">
        <v>260</v>
      </c>
      <c r="M144" s="83">
        <v>46170</v>
      </c>
      <c r="N144" s="7"/>
      <c r="P144" s="7"/>
      <c r="XEH144"/>
      <c r="XEI144"/>
      <c r="XEJ144"/>
    </row>
    <row r="145" s="2" customFormat="1" spans="1:16 16362:16364">
      <c r="A145" s="81" t="s">
        <v>257</v>
      </c>
      <c r="B145" s="81" t="s">
        <v>258</v>
      </c>
      <c r="C145" s="81" t="s">
        <v>259</v>
      </c>
      <c r="E145" s="85"/>
      <c r="F145" s="85"/>
      <c r="G145" s="85"/>
      <c r="H145" s="2" t="s">
        <v>289</v>
      </c>
      <c r="I145" s="85"/>
      <c r="J145" s="86">
        <v>260</v>
      </c>
      <c r="M145" s="83">
        <v>46170</v>
      </c>
      <c r="N145" s="7"/>
      <c r="P145" s="7"/>
      <c r="XEH145"/>
      <c r="XEI145"/>
      <c r="XEJ145"/>
    </row>
    <row r="146" s="2" customFormat="1" spans="1:16 16362:16364">
      <c r="A146" s="81" t="s">
        <v>260</v>
      </c>
      <c r="B146" s="81" t="s">
        <v>261</v>
      </c>
      <c r="C146" s="81" t="s">
        <v>262</v>
      </c>
      <c r="E146" s="85"/>
      <c r="F146" s="85"/>
      <c r="G146" s="85"/>
      <c r="H146" s="2" t="s">
        <v>289</v>
      </c>
      <c r="I146" s="85"/>
      <c r="J146" s="86">
        <v>260</v>
      </c>
      <c r="M146" s="83">
        <v>46170</v>
      </c>
      <c r="N146" s="7"/>
      <c r="P146" s="7"/>
      <c r="XEH146"/>
      <c r="XEI146"/>
      <c r="XEJ146"/>
    </row>
    <row r="147" s="2" customFormat="1" spans="1:16 16362:16364">
      <c r="A147" s="81" t="s">
        <v>263</v>
      </c>
      <c r="B147" s="81" t="s">
        <v>264</v>
      </c>
      <c r="C147" s="81" t="s">
        <v>265</v>
      </c>
      <c r="E147" s="85"/>
      <c r="F147" s="85"/>
      <c r="G147" s="85"/>
      <c r="H147" s="2" t="s">
        <v>289</v>
      </c>
      <c r="I147" s="85"/>
      <c r="J147" s="86">
        <v>260</v>
      </c>
      <c r="M147" s="83">
        <v>46170</v>
      </c>
      <c r="N147" s="7"/>
      <c r="P147" s="7"/>
      <c r="XEH147"/>
      <c r="XEI147"/>
      <c r="XEJ147"/>
    </row>
    <row r="148" s="2" customFormat="1" spans="1:16 16362:16364">
      <c r="A148" s="81" t="s">
        <v>266</v>
      </c>
      <c r="B148" s="81" t="s">
        <v>267</v>
      </c>
      <c r="C148" s="81" t="s">
        <v>268</v>
      </c>
      <c r="E148" s="85"/>
      <c r="F148" s="85"/>
      <c r="G148" s="85"/>
      <c r="H148" s="2" t="s">
        <v>289</v>
      </c>
      <c r="I148" s="85"/>
      <c r="J148" s="86">
        <v>260</v>
      </c>
      <c r="M148" s="83">
        <v>46170</v>
      </c>
      <c r="N148" s="7"/>
      <c r="P148" s="7"/>
      <c r="XEH148"/>
      <c r="XEI148"/>
      <c r="XEJ148"/>
    </row>
    <row r="149" s="2" customFormat="1" spans="1:16 16362:16364">
      <c r="M149" s="83"/>
      <c r="N149" s="7"/>
      <c r="P149" s="7"/>
      <c r="XEH149"/>
      <c r="XEI149"/>
      <c r="XEJ149"/>
    </row>
    <row r="150" s="2" customFormat="1" spans="1:16 16362:16364">
      <c r="A150" s="2" t="s">
        <v>291</v>
      </c>
      <c r="B150" s="2" t="s">
        <v>292</v>
      </c>
      <c r="C150" s="2" t="s">
        <v>293</v>
      </c>
      <c r="H150" s="2" t="s">
        <v>289</v>
      </c>
      <c r="M150" s="83">
        <v>46170</v>
      </c>
      <c r="N150" s="7"/>
      <c r="P150" s="7"/>
      <c r="XEH150"/>
      <c r="XEI150"/>
      <c r="XEJ150"/>
    </row>
    <row r="1047501" customFormat="1" ht="13.5"/>
    <row r="1047502" customFormat="1" ht="13.5"/>
    <row r="1047503" customFormat="1" ht="13.5"/>
    <row r="1047504" customFormat="1" ht="13.5"/>
    <row r="1047505" customFormat="1" ht="13.5"/>
    <row r="1047506" customFormat="1" ht="13.5"/>
    <row r="1047507" customFormat="1" ht="13.5"/>
    <row r="1047508" customFormat="1" ht="13.5"/>
    <row r="1047509" customFormat="1" ht="13.5"/>
    <row r="1047510" customFormat="1" ht="13.5"/>
    <row r="1047511" customFormat="1" ht="13.5"/>
    <row r="1047512" customFormat="1" ht="13.5"/>
    <row r="1047513" customFormat="1" ht="13.5"/>
    <row r="1047514" customFormat="1" ht="13.5"/>
    <row r="1047515" customFormat="1" ht="13.5"/>
    <row r="1047516" customFormat="1" ht="13.5"/>
    <row r="1047517" customFormat="1" ht="13.5"/>
    <row r="1047518" customFormat="1" ht="13.5"/>
    <row r="1047519" customFormat="1" ht="13.5"/>
    <row r="1047520" customFormat="1" ht="13.5"/>
    <row r="1047521" customFormat="1" ht="13.5"/>
    <row r="1047522" customFormat="1" ht="13.5"/>
    <row r="1047523" customFormat="1" ht="13.5"/>
    <row r="1047524" customFormat="1" ht="13.5"/>
    <row r="1047525" customFormat="1" ht="13.5"/>
    <row r="1047526" customFormat="1" ht="13.5"/>
    <row r="1047527" customFormat="1" ht="13.5"/>
    <row r="1047528" customFormat="1" ht="13.5"/>
    <row r="1047529" customFormat="1" ht="13.5"/>
    <row r="1047530" customFormat="1" ht="13.5"/>
    <row r="1047531" customFormat="1" ht="13.5"/>
    <row r="1047532" customFormat="1" ht="13.5"/>
    <row r="1047533" customFormat="1" ht="13.5"/>
    <row r="1047534" customFormat="1" ht="13.5"/>
    <row r="1047535" customFormat="1" ht="13.5"/>
    <row r="1047536" customFormat="1" ht="13.5"/>
    <row r="1047537" customFormat="1" ht="13.5"/>
    <row r="1047538" customFormat="1" ht="13.5"/>
    <row r="1047539" customFormat="1" ht="13.5"/>
    <row r="1047540" customFormat="1" ht="13.5"/>
    <row r="1047541" customFormat="1" ht="13.5"/>
    <row r="1047542" customFormat="1" ht="13.5"/>
    <row r="1047543" customFormat="1" ht="13.5"/>
    <row r="1047544" customFormat="1" ht="13.5"/>
    <row r="1047545" customFormat="1" ht="13.5"/>
    <row r="1047546" customFormat="1" ht="13.5"/>
    <row r="1047547" customFormat="1" ht="13.5"/>
    <row r="1047548" customFormat="1" ht="13.5"/>
    <row r="1047549" customFormat="1" ht="13.5"/>
    <row r="1047550" customFormat="1" ht="13.5"/>
    <row r="1047551" customFormat="1" ht="13.5"/>
    <row r="1047552" customFormat="1" ht="13.5"/>
    <row r="1047553" customFormat="1" ht="13.5"/>
    <row r="1047554" customFormat="1" ht="13.5"/>
    <row r="1047555" customFormat="1" ht="13.5"/>
    <row r="1047556" customFormat="1" ht="13.5"/>
    <row r="1047557" customFormat="1" ht="13.5"/>
    <row r="1047558" customFormat="1" ht="13.5"/>
    <row r="1047559" customFormat="1" ht="13.5"/>
    <row r="1047560" customFormat="1" ht="13.5"/>
    <row r="1047561" customFormat="1" ht="13.5"/>
    <row r="1047562" customFormat="1" ht="13.5"/>
    <row r="1047563" customFormat="1" ht="13.5"/>
    <row r="1047564" customFormat="1" ht="13.5"/>
    <row r="1047565" customFormat="1" ht="13.5"/>
    <row r="1047566" customFormat="1" ht="13.5"/>
    <row r="1047567" customFormat="1" ht="13.5"/>
    <row r="1047568" customFormat="1" ht="13.5"/>
    <row r="1047569" customFormat="1" ht="13.5"/>
    <row r="1047570" customFormat="1" ht="13.5"/>
    <row r="1047571" customFormat="1" ht="13.5"/>
    <row r="1047572" customFormat="1" ht="13.5"/>
    <row r="1047573" customFormat="1" ht="13.5"/>
    <row r="1047574" customFormat="1" ht="13.5"/>
    <row r="1047575" customFormat="1" ht="13.5"/>
    <row r="1047576" customFormat="1" ht="13.5"/>
    <row r="1047577" customFormat="1" ht="13.5"/>
    <row r="1047578" customFormat="1" ht="13.5"/>
    <row r="1047579" customFormat="1" ht="13.5"/>
    <row r="1047580" customFormat="1" ht="13.5"/>
    <row r="1047581" customFormat="1" ht="13.5"/>
    <row r="1047582" customFormat="1" ht="13.5"/>
    <row r="1047583" customFormat="1" ht="13.5"/>
    <row r="1047584" customFormat="1" ht="13.5"/>
    <row r="1047585" customFormat="1" ht="13.5"/>
    <row r="1047586" customFormat="1" ht="13.5"/>
    <row r="1047587" customFormat="1" ht="13.5"/>
    <row r="1047588" customFormat="1" ht="13.5"/>
    <row r="1047589" customFormat="1" ht="13.5"/>
    <row r="1047590" customFormat="1" ht="13.5"/>
    <row r="1047591" customFormat="1" ht="13.5"/>
    <row r="1047592" customFormat="1" ht="13.5"/>
    <row r="1047593" customFormat="1" ht="13.5"/>
    <row r="1047594" customFormat="1" ht="13.5"/>
    <row r="1047595" customFormat="1" ht="13.5"/>
    <row r="1047596" customFormat="1" ht="13.5"/>
    <row r="1047597" customFormat="1" ht="13.5"/>
    <row r="1047598" customFormat="1" ht="13.5"/>
    <row r="1047599" customFormat="1" ht="13.5"/>
    <row r="1047600" customFormat="1" ht="13.5"/>
    <row r="1047601" customFormat="1" ht="13.5"/>
    <row r="1047602" customFormat="1" ht="13.5"/>
    <row r="1047603" customFormat="1" ht="13.5"/>
    <row r="1047604" customFormat="1" ht="13.5"/>
    <row r="1047605" customFormat="1" ht="13.5"/>
    <row r="1047606" customFormat="1" ht="13.5"/>
    <row r="1047607" customFormat="1" ht="13.5"/>
    <row r="1047608" customFormat="1" ht="13.5"/>
    <row r="1047609" customFormat="1" ht="13.5"/>
    <row r="1047610" customFormat="1" ht="13.5"/>
    <row r="1047611" customFormat="1" ht="13.5"/>
    <row r="1047612" customFormat="1" ht="13.5"/>
    <row r="1047613" customFormat="1" ht="13.5"/>
    <row r="1047614" customFormat="1" ht="13.5"/>
    <row r="1047615" customFormat="1" ht="13.5"/>
    <row r="1047616" customFormat="1" ht="13.5"/>
    <row r="1047617" customFormat="1" ht="13.5"/>
    <row r="1047618" customFormat="1" ht="13.5"/>
    <row r="1047619" customFormat="1" ht="13.5"/>
    <row r="1047620" customFormat="1" ht="13.5"/>
    <row r="1047621" customFormat="1" ht="13.5"/>
    <row r="1047622" customFormat="1" ht="13.5"/>
    <row r="1047623" customFormat="1" ht="13.5"/>
    <row r="1047624" customFormat="1" ht="13.5"/>
    <row r="1047625" customFormat="1" ht="13.5"/>
    <row r="1047626" customFormat="1" ht="13.5"/>
    <row r="1047627" customFormat="1" ht="13.5"/>
    <row r="1047628" customFormat="1" ht="13.5"/>
    <row r="1047629" customFormat="1" ht="13.5"/>
    <row r="1047630" customFormat="1" ht="13.5"/>
    <row r="1047631" customFormat="1" ht="13.5"/>
    <row r="1047632" customFormat="1" ht="13.5"/>
    <row r="1047633" customFormat="1" ht="13.5"/>
    <row r="1047634" customFormat="1" ht="13.5"/>
    <row r="1047635" customFormat="1" ht="13.5"/>
    <row r="1047636" customFormat="1" ht="13.5"/>
    <row r="1047637" customFormat="1" ht="13.5"/>
    <row r="1047638" customFormat="1" ht="13.5"/>
    <row r="1047639" customFormat="1" ht="13.5"/>
    <row r="1047640" customFormat="1" ht="13.5"/>
    <row r="1047641" customFormat="1" ht="13.5"/>
    <row r="1047642" customFormat="1" ht="13.5"/>
    <row r="1047643" customFormat="1" ht="13.5"/>
    <row r="1047644" customFormat="1" ht="13.5"/>
    <row r="1047645" customFormat="1" ht="13.5"/>
    <row r="1047646" customFormat="1" ht="13.5"/>
    <row r="1047647" customFormat="1" ht="13.5"/>
    <row r="1047648" customFormat="1" ht="13.5"/>
    <row r="1047649" customFormat="1" ht="13.5"/>
    <row r="1047650" customFormat="1" ht="13.5"/>
    <row r="1047651" customFormat="1" ht="13.5"/>
    <row r="1047652" customFormat="1" ht="13.5"/>
    <row r="1047653" customFormat="1" ht="13.5"/>
    <row r="1047654" customFormat="1" ht="13.5"/>
    <row r="1047655" customFormat="1" ht="13.5"/>
    <row r="1047656" customFormat="1" ht="13.5"/>
    <row r="1047657" customFormat="1" ht="13.5"/>
    <row r="1047658" customFormat="1" ht="13.5"/>
    <row r="1047659" customFormat="1" ht="13.5"/>
    <row r="1047660" customFormat="1" ht="13.5"/>
    <row r="1047661" customFormat="1" ht="13.5"/>
    <row r="1047662" customFormat="1" ht="13.5"/>
    <row r="1047663" customFormat="1" ht="13.5"/>
    <row r="1047664" customFormat="1" ht="13.5"/>
    <row r="1047665" customFormat="1" ht="13.5"/>
    <row r="1047666" customFormat="1" ht="13.5"/>
    <row r="1047667" customFormat="1" ht="13.5"/>
    <row r="1047668" customFormat="1" ht="13.5"/>
    <row r="1047669" customFormat="1" ht="13.5"/>
    <row r="1047670" customFormat="1" ht="13.5"/>
    <row r="1047671" customFormat="1" ht="13.5"/>
    <row r="1047672" customFormat="1" ht="13.5"/>
    <row r="1047673" customFormat="1" ht="13.5"/>
    <row r="1047674" customFormat="1" ht="13.5"/>
    <row r="1047675" customFormat="1" ht="13.5"/>
    <row r="1047676" customFormat="1" ht="13.5"/>
    <row r="1047677" customFormat="1" ht="13.5"/>
    <row r="1047678" customFormat="1" ht="13.5"/>
    <row r="1047679" customFormat="1" ht="13.5"/>
    <row r="1047680" customFormat="1" ht="13.5"/>
    <row r="1047681" customFormat="1" ht="13.5"/>
    <row r="1047682" customFormat="1" ht="13.5"/>
    <row r="1047683" customFormat="1" ht="13.5"/>
    <row r="1047684" customFormat="1" ht="13.5"/>
    <row r="1047685" customFormat="1" ht="13.5"/>
    <row r="1047686" customFormat="1" ht="13.5"/>
    <row r="1047687" customFormat="1" ht="13.5"/>
    <row r="1047688" customFormat="1" ht="13.5"/>
    <row r="1047689" customFormat="1" ht="13.5"/>
    <row r="1047690" customFormat="1" ht="13.5"/>
    <row r="1047691" customFormat="1" ht="13.5"/>
    <row r="1047692" customFormat="1" ht="13.5"/>
    <row r="1047693" customFormat="1" ht="13.5"/>
    <row r="1047694" customFormat="1" ht="13.5"/>
    <row r="1047695" customFormat="1" ht="13.5"/>
    <row r="1047696" customFormat="1" ht="13.5"/>
    <row r="1047697" customFormat="1" ht="13.5"/>
    <row r="1047698" customFormat="1" ht="13.5"/>
    <row r="1047699" customFormat="1" ht="13.5"/>
    <row r="1047700" customFormat="1" ht="13.5"/>
    <row r="1047701" customFormat="1" ht="13.5"/>
    <row r="1047702" customFormat="1" ht="13.5"/>
    <row r="1047703" customFormat="1" ht="13.5"/>
    <row r="1047704" customFormat="1" ht="13.5"/>
    <row r="1047705" customFormat="1" ht="13.5"/>
    <row r="1047706" customFormat="1" ht="13.5"/>
    <row r="1047707" customFormat="1" ht="13.5"/>
    <row r="1047708" customFormat="1" ht="13.5"/>
    <row r="1047709" customFormat="1" ht="13.5"/>
    <row r="1047710" customFormat="1" ht="13.5"/>
    <row r="1047711" customFormat="1" ht="13.5"/>
    <row r="1047712" customFormat="1" ht="13.5"/>
    <row r="1047713" customFormat="1" ht="13.5"/>
    <row r="1047714" customFormat="1" ht="13.5"/>
    <row r="1047715" customFormat="1" ht="13.5"/>
    <row r="1047716" customFormat="1" ht="13.5"/>
    <row r="1047717" customFormat="1" ht="13.5"/>
    <row r="1047718" customFormat="1" ht="13.5"/>
    <row r="1047719" customFormat="1" ht="13.5"/>
    <row r="1047720" customFormat="1" ht="13.5"/>
    <row r="1047721" customFormat="1" ht="13.5"/>
    <row r="1047722" customFormat="1" ht="13.5"/>
    <row r="1047723" customFormat="1" ht="13.5"/>
    <row r="1047724" customFormat="1" ht="13.5"/>
    <row r="1047725" customFormat="1" ht="13.5"/>
    <row r="1047726" customFormat="1" ht="13.5"/>
    <row r="1047727" customFormat="1" ht="13.5"/>
    <row r="1047728" customFormat="1" ht="13.5"/>
    <row r="1047729" customFormat="1" ht="13.5"/>
    <row r="1047730" customFormat="1" ht="13.5"/>
    <row r="1047731" customFormat="1" ht="13.5"/>
    <row r="1047732" customFormat="1" ht="13.5"/>
    <row r="1047733" customFormat="1" ht="13.5"/>
    <row r="1047734" customFormat="1" ht="13.5"/>
    <row r="1047735" customFormat="1" ht="13.5"/>
    <row r="1047736" customFormat="1" ht="13.5"/>
    <row r="1047737" customFormat="1" ht="13.5"/>
    <row r="1047738" customFormat="1" ht="13.5"/>
    <row r="1047739" customFormat="1" ht="13.5"/>
    <row r="1047740" customFormat="1" ht="13.5"/>
    <row r="1047741" customFormat="1" ht="13.5"/>
    <row r="1047742" customFormat="1" ht="13.5"/>
    <row r="1047743" customFormat="1" ht="13.5"/>
    <row r="1047744" customFormat="1" ht="13.5"/>
    <row r="1047745" customFormat="1" ht="13.5"/>
    <row r="1047746" customFormat="1" ht="13.5"/>
    <row r="1047747" customFormat="1" ht="13.5"/>
    <row r="1047748" customFormat="1" ht="13.5"/>
    <row r="1047749" customFormat="1" ht="13.5"/>
    <row r="1047750" customFormat="1" ht="13.5"/>
    <row r="1047751" customFormat="1" ht="13.5"/>
    <row r="1047752" customFormat="1" ht="13.5"/>
    <row r="1047753" customFormat="1" ht="13.5"/>
    <row r="1047754" customFormat="1" ht="13.5"/>
    <row r="1047755" customFormat="1" ht="13.5"/>
    <row r="1047756" customFormat="1" ht="13.5"/>
    <row r="1047757" customFormat="1" ht="13.5"/>
    <row r="1047758" customFormat="1" ht="13.5"/>
    <row r="1047759" customFormat="1" ht="13.5"/>
    <row r="1047760" customFormat="1" ht="13.5"/>
    <row r="1047761" customFormat="1" ht="13.5"/>
    <row r="1047762" customFormat="1" ht="13.5"/>
    <row r="1047763" customFormat="1" ht="13.5"/>
    <row r="1047764" customFormat="1" ht="13.5"/>
    <row r="1047765" customFormat="1" ht="13.5"/>
    <row r="1047766" customFormat="1" ht="13.5"/>
    <row r="1047767" customFormat="1" ht="13.5"/>
    <row r="1047768" customFormat="1" ht="13.5"/>
    <row r="1047769" customFormat="1" ht="13.5"/>
    <row r="1047770" customFormat="1" ht="13.5"/>
    <row r="1047771" customFormat="1" ht="13.5"/>
    <row r="1047772" customFormat="1" ht="13.5"/>
    <row r="1047773" customFormat="1" ht="13.5"/>
    <row r="1047774" customFormat="1" ht="13.5"/>
    <row r="1047775" customFormat="1" ht="13.5"/>
    <row r="1047776" customFormat="1" ht="13.5"/>
    <row r="1047777" customFormat="1" ht="13.5"/>
    <row r="1047778" customFormat="1" ht="13.5"/>
    <row r="1047779" customFormat="1" ht="13.5"/>
    <row r="1047780" customFormat="1" ht="13.5"/>
    <row r="1047781" customFormat="1" ht="13.5"/>
    <row r="1047782" customFormat="1" ht="13.5"/>
    <row r="1047783" customFormat="1" ht="13.5"/>
    <row r="1047784" customFormat="1" ht="13.5"/>
    <row r="1047785" customFormat="1" ht="13.5"/>
    <row r="1047786" customFormat="1" ht="13.5"/>
    <row r="1047787" customFormat="1" ht="13.5"/>
    <row r="1047788" customFormat="1" ht="13.5"/>
    <row r="1047789" customFormat="1" ht="13.5"/>
    <row r="1047790" customFormat="1" ht="13.5"/>
    <row r="1047791" customFormat="1" ht="13.5"/>
    <row r="1047792" customFormat="1" ht="13.5"/>
    <row r="1047793" customFormat="1" ht="13.5"/>
    <row r="1047794" customFormat="1" ht="13.5"/>
    <row r="1047795" customFormat="1" ht="13.5"/>
    <row r="1047796" customFormat="1" ht="13.5"/>
    <row r="1047797" customFormat="1" ht="13.5"/>
    <row r="1047798" customFormat="1" ht="13.5"/>
    <row r="1047799" customFormat="1" ht="13.5"/>
    <row r="1047800" customFormat="1" ht="13.5"/>
    <row r="1047801" customFormat="1" ht="13.5"/>
    <row r="1047802" customFormat="1" ht="13.5"/>
    <row r="1047803" customFormat="1" ht="13.5"/>
    <row r="1047804" customFormat="1" ht="13.5"/>
    <row r="1047805" customFormat="1" ht="13.5"/>
    <row r="1047806" customFormat="1" ht="13.5"/>
    <row r="1047807" customFormat="1" ht="13.5"/>
    <row r="1047808" customFormat="1" ht="13.5"/>
    <row r="1047809" customFormat="1" ht="13.5"/>
    <row r="1047810" customFormat="1" ht="13.5"/>
    <row r="1047811" customFormat="1" ht="13.5"/>
    <row r="1047812" customFormat="1" ht="13.5"/>
    <row r="1047813" customFormat="1" ht="13.5"/>
    <row r="1047814" customFormat="1" ht="13.5"/>
    <row r="1047815" customFormat="1" ht="13.5"/>
    <row r="1047816" customFormat="1" ht="13.5"/>
    <row r="1047817" customFormat="1" ht="13.5"/>
    <row r="1047818" customFormat="1" ht="13.5"/>
    <row r="1047819" customFormat="1" ht="13.5"/>
    <row r="1047820" customFormat="1" ht="13.5"/>
    <row r="1047821" customFormat="1" ht="13.5"/>
    <row r="1047822" customFormat="1" ht="13.5"/>
    <row r="1047823" customFormat="1" ht="13.5"/>
    <row r="1047824" customFormat="1" ht="13.5"/>
    <row r="1047825" customFormat="1" ht="13.5"/>
    <row r="1047826" customFormat="1" ht="13.5"/>
    <row r="1047827" customFormat="1" ht="13.5"/>
    <row r="1047828" customFormat="1" ht="13.5"/>
    <row r="1047829" customFormat="1" ht="13.5"/>
    <row r="1047830" customFormat="1" ht="13.5"/>
    <row r="1047831" customFormat="1" ht="13.5"/>
    <row r="1047832" customFormat="1" ht="13.5"/>
    <row r="1047833" customFormat="1" ht="13.5"/>
    <row r="1047834" customFormat="1" ht="13.5"/>
    <row r="1047835" customFormat="1" ht="13.5"/>
    <row r="1047836" customFormat="1" ht="13.5"/>
    <row r="1047837" customFormat="1" ht="13.5"/>
    <row r="1047838" customFormat="1" ht="13.5"/>
    <row r="1047839" customFormat="1" ht="13.5"/>
    <row r="1047840" customFormat="1" ht="13.5"/>
    <row r="1047841" customFormat="1" ht="13.5"/>
    <row r="1047842" customFormat="1" ht="13.5"/>
    <row r="1047843" customFormat="1" ht="13.5"/>
    <row r="1047844" customFormat="1" ht="13.5"/>
    <row r="1047845" customFormat="1" ht="13.5"/>
    <row r="1047846" customFormat="1" ht="13.5"/>
    <row r="1047847" customFormat="1" ht="13.5"/>
    <row r="1047848" customFormat="1" ht="13.5"/>
    <row r="1047849" customFormat="1" ht="13.5"/>
    <row r="1047850" customFormat="1" ht="13.5"/>
    <row r="1047851" customFormat="1" ht="13.5"/>
    <row r="1047852" customFormat="1" ht="13.5"/>
    <row r="1047853" customFormat="1" ht="13.5"/>
    <row r="1047854" customFormat="1" ht="13.5"/>
    <row r="1047855" customFormat="1" ht="13.5"/>
    <row r="1047856" customFormat="1" ht="13.5"/>
    <row r="1047857" customFormat="1" ht="13.5"/>
    <row r="1047858" customFormat="1" ht="13.5"/>
    <row r="1047859" customFormat="1" ht="13.5"/>
    <row r="1047860" customFormat="1" ht="13.5"/>
    <row r="1047861" customFormat="1" ht="13.5"/>
    <row r="1047862" customFormat="1" ht="13.5"/>
    <row r="1047863" customFormat="1" ht="13.5"/>
    <row r="1047864" customFormat="1" ht="13.5"/>
    <row r="1047865" customFormat="1" ht="13.5"/>
    <row r="1047866" customFormat="1" ht="13.5"/>
    <row r="1047867" customFormat="1" ht="13.5"/>
    <row r="1047868" customFormat="1" ht="13.5"/>
    <row r="1047869" customFormat="1" ht="13.5"/>
    <row r="1047870" customFormat="1" ht="13.5"/>
    <row r="1047871" customFormat="1" ht="13.5"/>
    <row r="1047872" customFormat="1" ht="13.5"/>
    <row r="1047873" customFormat="1" ht="13.5"/>
    <row r="1047874" customFormat="1" ht="13.5"/>
    <row r="1047875" customFormat="1" ht="13.5"/>
    <row r="1047876" customFormat="1" ht="13.5"/>
    <row r="1047877" customFormat="1" ht="13.5"/>
    <row r="1047878" customFormat="1" ht="13.5"/>
    <row r="1047879" customFormat="1" ht="13.5"/>
    <row r="1047880" customFormat="1" ht="13.5"/>
    <row r="1047881" customFormat="1" ht="13.5"/>
    <row r="1047882" customFormat="1" ht="13.5"/>
    <row r="1047883" customFormat="1" ht="13.5"/>
    <row r="1047884" customFormat="1" ht="13.5"/>
    <row r="1047885" customFormat="1" ht="13.5"/>
    <row r="1047886" customFormat="1" ht="13.5"/>
    <row r="1047887" customFormat="1" ht="13.5"/>
    <row r="1047888" customFormat="1" ht="13.5"/>
    <row r="1047889" customFormat="1" ht="13.5"/>
    <row r="1047890" customFormat="1" ht="13.5"/>
    <row r="1047891" customFormat="1" ht="13.5"/>
    <row r="1047892" customFormat="1" ht="13.5"/>
    <row r="1047893" customFormat="1" ht="13.5"/>
    <row r="1047894" customFormat="1" ht="13.5"/>
    <row r="1047895" customFormat="1" ht="13.5"/>
    <row r="1047896" customFormat="1" ht="13.5"/>
    <row r="1047897" customFormat="1" ht="13.5"/>
    <row r="1047898" customFormat="1" ht="13.5"/>
    <row r="1047899" customFormat="1" ht="13.5"/>
    <row r="1047900" customFormat="1" ht="13.5"/>
    <row r="1047901" customFormat="1" ht="13.5"/>
    <row r="1047902" customFormat="1" ht="13.5"/>
    <row r="1047903" customFormat="1" ht="13.5"/>
    <row r="1047904" customFormat="1" ht="13.5"/>
    <row r="1047905" customFormat="1" ht="13.5"/>
    <row r="1047906" customFormat="1" ht="13.5"/>
    <row r="1047907" customFormat="1" ht="13.5"/>
    <row r="1047908" customFormat="1" ht="13.5"/>
    <row r="1047909" customFormat="1" ht="13.5"/>
    <row r="1047910" customFormat="1" ht="13.5"/>
    <row r="1047911" customFormat="1" ht="13.5"/>
    <row r="1047912" customFormat="1" ht="13.5"/>
    <row r="1047913" customFormat="1" ht="13.5"/>
    <row r="1047914" customFormat="1" ht="13.5"/>
    <row r="1047915" customFormat="1" ht="13.5"/>
    <row r="1047916" customFormat="1" ht="13.5"/>
    <row r="1047917" customFormat="1" ht="13.5"/>
    <row r="1047918" customFormat="1" ht="13.5"/>
    <row r="1047919" customFormat="1" ht="13.5"/>
    <row r="1047920" customFormat="1" ht="13.5"/>
    <row r="1047921" customFormat="1" ht="13.5"/>
    <row r="1047922" customFormat="1" ht="13.5"/>
    <row r="1047923" customFormat="1" ht="13.5"/>
    <row r="1047924" customFormat="1" ht="13.5"/>
    <row r="1047925" customFormat="1" ht="13.5"/>
    <row r="1047926" customFormat="1" ht="13.5"/>
    <row r="1047927" customFormat="1" ht="13.5"/>
    <row r="1047928" customFormat="1" ht="13.5"/>
    <row r="1047929" customFormat="1" ht="13.5"/>
    <row r="1047930" customFormat="1" ht="13.5"/>
    <row r="1047931" customFormat="1" ht="13.5"/>
    <row r="1047932" customFormat="1" ht="13.5"/>
    <row r="1047933" customFormat="1" ht="13.5"/>
    <row r="1047934" customFormat="1" ht="13.5"/>
    <row r="1047935" customFormat="1" ht="13.5"/>
    <row r="1047936" customFormat="1" ht="13.5"/>
    <row r="1047937" customFormat="1" ht="13.5"/>
    <row r="1047938" customFormat="1" ht="13.5"/>
    <row r="1047939" customFormat="1" ht="13.5"/>
    <row r="1047940" customFormat="1" ht="13.5"/>
    <row r="1047941" customFormat="1" ht="13.5"/>
    <row r="1047942" customFormat="1" ht="13.5"/>
    <row r="1047943" customFormat="1" ht="13.5"/>
    <row r="1047944" customFormat="1" ht="13.5"/>
    <row r="1047945" customFormat="1" ht="13.5"/>
    <row r="1047946" customFormat="1" ht="13.5"/>
    <row r="1047947" customFormat="1" ht="13.5"/>
    <row r="1047948" customFormat="1" ht="13.5"/>
    <row r="1047949" customFormat="1" ht="13.5"/>
    <row r="1047950" customFormat="1" ht="13.5"/>
    <row r="1047951" customFormat="1" ht="13.5"/>
    <row r="1047952" customFormat="1" ht="13.5"/>
    <row r="1047953" customFormat="1" ht="13.5"/>
    <row r="1047954" customFormat="1" ht="13.5"/>
    <row r="1047955" customFormat="1" ht="13.5"/>
    <row r="1047956" customFormat="1" ht="13.5"/>
    <row r="1047957" customFormat="1" ht="13.5"/>
    <row r="1047958" customFormat="1" ht="13.5"/>
    <row r="1047959" customFormat="1" ht="13.5"/>
    <row r="1047960" customFormat="1" ht="13.5"/>
    <row r="1047961" customFormat="1" ht="13.5"/>
    <row r="1047962" customFormat="1" ht="13.5"/>
    <row r="1047963" customFormat="1" ht="13.5"/>
    <row r="1047964" customFormat="1" ht="13.5"/>
    <row r="1047965" customFormat="1" ht="13.5"/>
    <row r="1047966" customFormat="1" ht="13.5"/>
    <row r="1047967" customFormat="1" ht="13.5"/>
    <row r="1047968" customFormat="1" ht="13.5"/>
    <row r="1047969" customFormat="1" ht="13.5"/>
    <row r="1047970" customFormat="1" ht="13.5"/>
    <row r="1047971" customFormat="1" ht="13.5"/>
    <row r="1047972" customFormat="1" ht="13.5"/>
    <row r="1047973" customFormat="1" ht="13.5"/>
    <row r="1047974" customFormat="1" ht="13.5"/>
    <row r="1047975" customFormat="1" ht="13.5"/>
    <row r="1047976" customFormat="1" ht="13.5"/>
    <row r="1047977" customFormat="1" ht="13.5"/>
    <row r="1047978" customFormat="1" ht="13.5"/>
    <row r="1047979" customFormat="1" ht="13.5"/>
    <row r="1047980" customFormat="1" ht="13.5"/>
    <row r="1047981" customFormat="1" ht="13.5"/>
    <row r="1047982" customFormat="1" ht="13.5"/>
    <row r="1047983" customFormat="1" ht="13.5"/>
    <row r="1047984" customFormat="1" ht="13.5"/>
    <row r="1047985" customFormat="1" ht="13.5"/>
    <row r="1047986" customFormat="1" ht="13.5"/>
    <row r="1047987" customFormat="1" ht="13.5"/>
    <row r="1047988" customFormat="1" ht="13.5"/>
    <row r="1047989" customFormat="1" ht="13.5"/>
    <row r="1047990" customFormat="1" ht="13.5"/>
    <row r="1047991" customFormat="1" ht="13.5"/>
    <row r="1047992" customFormat="1" ht="13.5"/>
    <row r="1047993" customFormat="1" ht="13.5"/>
    <row r="1047994" customFormat="1" ht="13.5"/>
    <row r="1047995" customFormat="1" ht="13.5"/>
    <row r="1047996" customFormat="1" ht="13.5"/>
    <row r="1047997" customFormat="1" ht="13.5"/>
    <row r="1047998" customFormat="1" ht="13.5"/>
    <row r="1047999" customFormat="1" ht="13.5"/>
    <row r="1048000" customFormat="1" ht="13.5"/>
    <row r="1048001" customFormat="1" ht="13.5"/>
    <row r="1048002" customFormat="1" ht="13.5"/>
    <row r="1048003" customFormat="1" ht="13.5"/>
    <row r="1048004" customFormat="1" ht="13.5"/>
    <row r="1048005" customFormat="1" ht="13.5"/>
    <row r="1048006" customFormat="1" ht="13.5"/>
    <row r="1048007" customFormat="1" ht="13.5"/>
    <row r="1048008" customFormat="1" ht="13.5"/>
    <row r="1048009" customFormat="1" ht="13.5"/>
    <row r="1048010" customFormat="1" ht="13.5"/>
    <row r="1048011" customFormat="1" ht="13.5"/>
    <row r="1048012" customFormat="1" ht="13.5"/>
    <row r="1048013" customFormat="1" ht="13.5"/>
    <row r="1048014" customFormat="1" ht="13.5"/>
    <row r="1048015" customFormat="1" ht="13.5"/>
    <row r="1048016" customFormat="1" ht="13.5"/>
    <row r="1048017" customFormat="1" ht="13.5"/>
    <row r="1048018" customFormat="1" ht="13.5"/>
    <row r="1048019" customFormat="1" ht="13.5"/>
    <row r="1048020" customFormat="1" ht="13.5"/>
    <row r="1048021" customFormat="1" ht="13.5"/>
    <row r="1048022" customFormat="1" ht="13.5"/>
    <row r="1048023" customFormat="1" ht="13.5"/>
    <row r="1048024" customFormat="1" ht="13.5"/>
    <row r="1048025" customFormat="1" ht="13.5"/>
    <row r="1048026" customFormat="1" ht="13.5"/>
    <row r="1048027" customFormat="1" ht="13.5"/>
    <row r="1048028" customFormat="1" ht="13.5"/>
    <row r="1048029" customFormat="1" ht="13.5"/>
    <row r="1048030" customFormat="1" ht="13.5"/>
    <row r="1048031" customFormat="1" ht="13.5"/>
    <row r="1048032" customFormat="1" ht="13.5"/>
    <row r="1048033" customFormat="1" ht="13.5"/>
    <row r="1048034" customFormat="1" ht="13.5"/>
    <row r="1048035" customFormat="1" ht="13.5"/>
    <row r="1048036" customFormat="1" ht="13.5"/>
    <row r="1048037" customFormat="1" ht="13.5"/>
    <row r="1048038" customFormat="1" ht="13.5"/>
    <row r="1048039" customFormat="1" ht="13.5"/>
    <row r="1048040" customFormat="1" ht="13.5"/>
    <row r="1048041" customFormat="1" ht="13.5"/>
    <row r="1048042" customFormat="1" ht="13.5"/>
    <row r="1048043" customFormat="1" ht="13.5"/>
    <row r="1048044" customFormat="1" ht="13.5"/>
    <row r="1048045" customFormat="1" ht="13.5"/>
    <row r="1048046" customFormat="1" ht="13.5"/>
    <row r="1048047" customFormat="1" ht="13.5"/>
    <row r="1048048" customFormat="1" ht="13.5"/>
    <row r="1048049" customFormat="1" ht="13.5"/>
    <row r="1048050" customFormat="1" ht="13.5"/>
    <row r="1048051" customFormat="1" ht="13.5"/>
    <row r="1048052" customFormat="1" ht="13.5"/>
    <row r="1048053" customFormat="1" ht="13.5"/>
    <row r="1048054" customFormat="1" ht="13.5"/>
    <row r="1048055" customFormat="1" ht="13.5"/>
    <row r="1048056" customFormat="1" ht="13.5"/>
    <row r="1048057" customFormat="1" ht="13.5"/>
    <row r="1048058" customFormat="1" ht="13.5"/>
    <row r="1048059" customFormat="1" ht="13.5"/>
    <row r="1048060" customFormat="1" ht="13.5"/>
    <row r="1048061" customFormat="1" ht="13.5"/>
    <row r="1048062" customFormat="1" ht="13.5"/>
    <row r="1048063" customFormat="1" ht="13.5"/>
    <row r="1048064" customFormat="1" ht="13.5"/>
    <row r="1048065" customFormat="1" ht="13.5"/>
    <row r="1048066" customFormat="1" ht="13.5"/>
    <row r="1048067" customFormat="1" ht="13.5"/>
    <row r="1048068" customFormat="1" ht="13.5"/>
    <row r="1048069" customFormat="1" ht="13.5"/>
    <row r="1048070" customFormat="1" ht="13.5"/>
    <row r="1048071" customFormat="1" ht="13.5"/>
    <row r="1048072" customFormat="1" ht="13.5"/>
    <row r="1048073" customFormat="1" ht="13.5"/>
    <row r="1048074" customFormat="1" ht="13.5"/>
    <row r="1048075" customFormat="1" ht="13.5"/>
    <row r="1048076" customFormat="1" ht="13.5"/>
    <row r="1048077" customFormat="1" ht="13.5"/>
    <row r="1048078" customFormat="1" ht="13.5"/>
    <row r="1048079" customFormat="1" ht="13.5"/>
    <row r="1048080" customFormat="1" ht="13.5"/>
    <row r="1048081" customFormat="1" ht="13.5"/>
    <row r="1048082" customFormat="1" ht="13.5"/>
    <row r="1048083" customFormat="1" ht="13.5"/>
    <row r="1048084" customFormat="1" ht="13.5"/>
    <row r="1048085" customFormat="1" ht="13.5"/>
    <row r="1048086" customFormat="1" ht="13.5"/>
    <row r="1048087" customFormat="1" ht="13.5"/>
    <row r="1048088" customFormat="1" ht="13.5"/>
    <row r="1048089" customFormat="1" ht="13.5"/>
    <row r="1048090" customFormat="1" ht="13.5"/>
    <row r="1048091" customFormat="1" ht="13.5"/>
    <row r="1048092" customFormat="1" ht="13.5"/>
    <row r="1048093" customFormat="1" ht="13.5"/>
    <row r="1048094" customFormat="1" ht="13.5"/>
    <row r="1048095" customFormat="1" ht="13.5"/>
    <row r="1048096" customFormat="1" ht="13.5"/>
    <row r="1048097" customFormat="1" ht="13.5"/>
    <row r="1048098" customFormat="1" ht="13.5"/>
    <row r="1048099" customFormat="1" ht="13.5"/>
    <row r="1048100" customFormat="1" ht="13.5"/>
    <row r="1048101" customFormat="1" ht="13.5"/>
    <row r="1048102" customFormat="1" ht="13.5"/>
    <row r="1048103" customFormat="1" ht="13.5"/>
    <row r="1048104" customFormat="1" ht="13.5"/>
    <row r="1048105" customFormat="1" ht="13.5"/>
    <row r="1048106" customFormat="1" ht="13.5"/>
    <row r="1048107" customFormat="1" ht="13.5"/>
    <row r="1048108" customFormat="1" ht="13.5"/>
    <row r="1048109" customFormat="1" ht="13.5"/>
    <row r="1048110" customFormat="1" ht="13.5"/>
    <row r="1048111" customFormat="1" ht="13.5"/>
    <row r="1048112" customFormat="1" ht="13.5"/>
    <row r="1048113" customFormat="1" ht="13.5"/>
    <row r="1048114" customFormat="1" ht="13.5"/>
    <row r="1048115" customFormat="1" ht="13.5"/>
    <row r="1048116" customFormat="1" ht="13.5"/>
    <row r="1048117" customFormat="1" ht="13.5"/>
    <row r="1048118" customFormat="1" ht="13.5"/>
    <row r="1048119" customFormat="1" ht="13.5"/>
    <row r="1048120" customFormat="1" ht="13.5"/>
    <row r="1048121" customFormat="1" ht="13.5"/>
    <row r="1048122" customFormat="1" ht="13.5"/>
    <row r="1048123" customFormat="1" ht="13.5"/>
    <row r="1048124" customFormat="1" ht="13.5"/>
    <row r="1048125" customFormat="1" ht="13.5"/>
    <row r="1048126" customFormat="1" ht="13.5"/>
    <row r="1048127" customFormat="1" ht="13.5"/>
    <row r="1048128" customFormat="1" ht="13.5"/>
    <row r="1048129" customFormat="1" ht="13.5"/>
    <row r="1048130" customFormat="1" ht="13.5"/>
    <row r="1048131" customFormat="1" ht="13.5"/>
    <row r="1048132" customFormat="1" ht="13.5"/>
    <row r="1048133" customFormat="1" ht="13.5"/>
    <row r="1048134" customFormat="1" ht="13.5"/>
    <row r="1048135" customFormat="1" ht="13.5"/>
    <row r="1048136" customFormat="1" ht="13.5"/>
    <row r="1048137" customFormat="1" ht="13.5"/>
    <row r="1048138" customFormat="1" ht="13.5"/>
    <row r="1048139" customFormat="1" ht="13.5"/>
    <row r="1048140" customFormat="1" ht="13.5"/>
    <row r="1048141" customFormat="1" ht="13.5"/>
    <row r="1048142" customFormat="1" ht="13.5"/>
    <row r="1048143" customFormat="1" ht="13.5"/>
    <row r="1048144" customFormat="1" ht="13.5"/>
    <row r="1048145" customFormat="1" ht="13.5"/>
    <row r="1048146" customFormat="1" ht="13.5"/>
    <row r="1048147" customFormat="1" ht="13.5"/>
    <row r="1048148" customFormat="1" ht="13.5"/>
    <row r="1048149" customFormat="1" ht="13.5"/>
    <row r="1048150" customFormat="1" ht="13.5"/>
    <row r="1048151" customFormat="1" ht="13.5"/>
    <row r="1048152" customFormat="1" ht="13.5"/>
    <row r="1048153" customFormat="1" ht="13.5"/>
    <row r="1048154" customFormat="1" ht="13.5"/>
    <row r="1048155" customFormat="1" ht="13.5"/>
    <row r="1048156" customFormat="1" ht="13.5"/>
    <row r="1048157" customFormat="1" ht="13.5"/>
    <row r="1048158" customFormat="1" ht="13.5"/>
    <row r="1048159" customFormat="1" ht="13.5"/>
    <row r="1048160" customFormat="1" ht="13.5"/>
    <row r="1048161" customFormat="1" ht="13.5"/>
    <row r="1048162" customFormat="1" ht="13.5"/>
    <row r="1048163" customFormat="1" ht="13.5"/>
    <row r="1048164" customFormat="1" ht="13.5"/>
    <row r="1048165" customFormat="1" ht="13.5"/>
    <row r="1048166" customFormat="1" ht="13.5"/>
    <row r="1048167" customFormat="1" ht="13.5"/>
    <row r="1048168" customFormat="1" ht="13.5"/>
    <row r="1048169" customFormat="1" ht="13.5"/>
    <row r="1048170" customFormat="1" ht="13.5"/>
    <row r="1048171" customFormat="1" ht="13.5"/>
    <row r="1048172" customFormat="1" ht="13.5"/>
    <row r="1048173" customFormat="1" ht="13.5"/>
    <row r="1048174" customFormat="1" ht="13.5"/>
    <row r="1048175" customFormat="1" ht="13.5"/>
    <row r="1048176" customFormat="1" ht="13.5"/>
    <row r="1048177" customFormat="1" ht="13.5"/>
    <row r="1048178" customFormat="1" ht="13.5"/>
    <row r="1048179" customFormat="1" ht="13.5"/>
    <row r="1048180" customFormat="1" ht="13.5"/>
    <row r="1048181" customFormat="1" ht="13.5"/>
    <row r="1048182" customFormat="1" ht="13.5"/>
    <row r="1048183" customFormat="1" ht="13.5"/>
    <row r="1048184" customFormat="1" ht="13.5"/>
    <row r="1048185" customFormat="1" ht="13.5"/>
    <row r="1048186" customFormat="1" ht="13.5"/>
    <row r="1048187" customFormat="1" ht="13.5"/>
    <row r="1048188" customFormat="1" ht="13.5"/>
    <row r="1048189" customFormat="1" ht="13.5"/>
    <row r="1048190" customFormat="1" ht="13.5"/>
    <row r="1048191" customFormat="1" ht="13.5"/>
    <row r="1048192" customFormat="1" ht="13.5"/>
    <row r="1048193" customFormat="1" ht="13.5"/>
    <row r="1048194" customFormat="1" ht="13.5"/>
    <row r="1048195" customFormat="1" ht="13.5"/>
    <row r="1048196" customFormat="1" ht="13.5"/>
    <row r="1048197" customFormat="1" ht="13.5"/>
    <row r="1048198" customFormat="1" ht="13.5"/>
    <row r="1048199" customFormat="1" ht="13.5"/>
    <row r="1048200" customFormat="1" ht="13.5"/>
    <row r="1048201" customFormat="1" ht="13.5"/>
    <row r="1048202" customFormat="1" ht="13.5"/>
    <row r="1048203" customFormat="1" ht="13.5"/>
    <row r="1048204" customFormat="1" ht="13.5"/>
    <row r="1048205" customFormat="1" ht="13.5"/>
    <row r="1048206" customFormat="1" ht="13.5"/>
    <row r="1048207" customFormat="1" ht="13.5"/>
    <row r="1048208" customFormat="1" ht="13.5"/>
    <row r="1048209" customFormat="1" ht="13.5"/>
    <row r="1048210" customFormat="1" ht="13.5"/>
    <row r="1048211" customFormat="1" ht="13.5"/>
    <row r="1048212" customFormat="1" ht="13.5"/>
    <row r="1048213" customFormat="1" ht="13.5"/>
    <row r="1048214" customFormat="1" ht="13.5"/>
    <row r="1048215" customFormat="1" ht="13.5"/>
    <row r="1048216" customFormat="1" ht="13.5"/>
    <row r="1048217" customFormat="1" ht="13.5"/>
    <row r="1048218" customFormat="1" ht="13.5"/>
    <row r="1048219" customFormat="1" ht="13.5"/>
    <row r="1048220" customFormat="1" ht="13.5"/>
    <row r="1048221" customFormat="1" ht="13.5"/>
    <row r="1048222" customFormat="1" ht="13.5"/>
    <row r="1048223" customFormat="1" ht="13.5"/>
    <row r="1048224" customFormat="1" ht="13.5"/>
    <row r="1048225" customFormat="1" ht="13.5"/>
    <row r="1048226" customFormat="1" ht="13.5"/>
    <row r="1048227" customFormat="1" ht="13.5"/>
    <row r="1048228" customFormat="1" ht="13.5"/>
    <row r="1048229" customFormat="1" ht="13.5"/>
    <row r="1048230" customFormat="1" ht="13.5"/>
    <row r="1048231" customFormat="1" ht="13.5"/>
    <row r="1048232" customFormat="1" ht="13.5"/>
    <row r="1048233" customFormat="1" ht="13.5"/>
    <row r="1048234" customFormat="1" ht="13.5"/>
    <row r="1048235" customFormat="1" ht="13.5"/>
    <row r="1048236" customFormat="1" ht="13.5"/>
    <row r="1048237" customFormat="1" ht="13.5"/>
    <row r="1048238" customFormat="1" ht="13.5"/>
    <row r="1048239" customFormat="1" ht="13.5"/>
    <row r="1048240" customFormat="1" ht="13.5"/>
    <row r="1048241" customFormat="1" ht="13.5"/>
    <row r="1048242" customFormat="1" ht="13.5"/>
    <row r="1048243" customFormat="1" ht="13.5"/>
    <row r="1048244" customFormat="1" ht="13.5"/>
    <row r="1048245" customFormat="1" ht="13.5"/>
    <row r="1048246" customFormat="1" ht="13.5"/>
    <row r="1048247" customFormat="1" ht="13.5"/>
    <row r="1048248" customFormat="1" ht="13.5"/>
    <row r="1048249" customFormat="1" ht="13.5"/>
    <row r="1048250" customFormat="1" ht="13.5"/>
    <row r="1048251" customFormat="1" ht="13.5"/>
    <row r="1048252" customFormat="1" ht="13.5"/>
    <row r="1048253" customFormat="1" ht="13.5"/>
    <row r="1048254" customFormat="1" ht="13.5"/>
    <row r="1048255" customFormat="1" ht="13.5"/>
    <row r="1048256" customFormat="1" ht="13.5"/>
    <row r="1048257" customFormat="1" ht="13.5"/>
    <row r="1048258" customFormat="1" ht="13.5"/>
    <row r="1048259" customFormat="1" ht="13.5"/>
    <row r="1048260" customFormat="1" ht="13.5"/>
    <row r="1048261" customFormat="1" ht="13.5"/>
    <row r="1048262" customFormat="1" ht="13.5"/>
    <row r="1048263" customFormat="1" ht="13.5"/>
    <row r="1048264" customFormat="1" ht="13.5"/>
    <row r="1048265" customFormat="1" ht="13.5"/>
    <row r="1048266" customFormat="1" ht="13.5"/>
    <row r="1048267" customFormat="1" ht="13.5"/>
    <row r="1048268" customFormat="1" ht="13.5"/>
    <row r="1048269" customFormat="1" ht="13.5"/>
    <row r="1048270" customFormat="1" ht="13.5"/>
    <row r="1048271" customFormat="1" ht="13.5"/>
    <row r="1048272" customFormat="1" ht="13.5"/>
    <row r="1048273" customFormat="1" ht="13.5"/>
    <row r="1048274" customFormat="1" ht="13.5"/>
    <row r="1048275" customFormat="1" ht="13.5"/>
    <row r="1048276" customFormat="1" ht="13.5"/>
    <row r="1048277" customFormat="1" ht="13.5"/>
    <row r="1048278" customFormat="1" ht="13.5"/>
    <row r="1048279" customFormat="1" ht="13.5"/>
    <row r="1048280" customFormat="1" ht="13.5"/>
    <row r="1048281" customFormat="1" ht="13.5"/>
    <row r="1048282" customFormat="1" ht="13.5"/>
    <row r="1048283" customFormat="1" ht="13.5"/>
    <row r="1048284" customFormat="1" ht="13.5"/>
    <row r="1048285" customFormat="1" ht="13.5"/>
    <row r="1048286" customFormat="1" ht="13.5"/>
    <row r="1048287" customFormat="1" ht="13.5"/>
    <row r="1048288" customFormat="1" ht="13.5"/>
    <row r="1048289" customFormat="1" ht="13.5"/>
    <row r="1048290" customFormat="1" ht="13.5"/>
    <row r="1048291" customFormat="1" ht="13.5"/>
    <row r="1048292" customFormat="1" ht="13.5"/>
    <row r="1048293" customFormat="1" ht="13.5"/>
    <row r="1048294" customFormat="1" ht="13.5"/>
    <row r="1048295" customFormat="1" ht="13.5"/>
    <row r="1048296" customFormat="1" ht="13.5"/>
    <row r="1048297" customFormat="1" ht="13.5"/>
    <row r="1048298" customFormat="1" ht="13.5"/>
    <row r="1048299" customFormat="1" ht="13.5"/>
    <row r="1048300" customFormat="1" ht="13.5"/>
    <row r="1048301" customFormat="1" ht="13.5"/>
    <row r="1048302" customFormat="1" ht="13.5"/>
    <row r="1048303" customFormat="1" ht="13.5"/>
    <row r="1048304" customFormat="1" ht="13.5"/>
    <row r="1048305" customFormat="1" ht="13.5"/>
    <row r="1048306" customFormat="1" ht="13.5"/>
    <row r="1048307" customFormat="1" ht="13.5"/>
    <row r="1048308" customFormat="1" ht="13.5"/>
    <row r="1048309" customFormat="1" ht="13.5"/>
    <row r="1048310" customFormat="1" ht="13.5"/>
    <row r="1048311" customFormat="1" ht="13.5"/>
    <row r="1048312" customFormat="1" ht="13.5"/>
    <row r="1048313" customFormat="1" ht="13.5"/>
    <row r="1048314" customFormat="1" ht="13.5"/>
    <row r="1048315" customFormat="1" ht="13.5"/>
    <row r="1048316" customFormat="1" ht="13.5"/>
    <row r="1048317" customFormat="1" ht="13.5"/>
    <row r="1048318" customFormat="1" ht="13.5"/>
    <row r="1048319" customFormat="1" ht="13.5"/>
    <row r="1048320" customFormat="1" ht="13.5"/>
    <row r="1048321" customFormat="1" ht="13.5"/>
    <row r="1048322" customFormat="1" ht="13.5"/>
    <row r="1048323" customFormat="1" ht="13.5"/>
    <row r="1048324" customFormat="1" ht="13.5"/>
    <row r="1048325" customFormat="1" ht="13.5"/>
    <row r="1048326" customFormat="1" ht="13.5"/>
    <row r="1048327" customFormat="1" ht="13.5"/>
    <row r="1048328" customFormat="1" ht="13.5"/>
    <row r="1048329" customFormat="1" ht="13.5"/>
    <row r="1048330" customFormat="1" ht="13.5"/>
    <row r="1048331" customFormat="1" ht="13.5"/>
    <row r="1048332" customFormat="1" ht="13.5"/>
    <row r="1048333" customFormat="1" ht="13.5"/>
    <row r="1048334" customFormat="1" ht="13.5"/>
    <row r="1048335" customFormat="1" ht="13.5"/>
    <row r="1048336" customFormat="1" ht="13.5"/>
    <row r="1048337" customFormat="1" ht="13.5"/>
    <row r="1048338" customFormat="1" ht="13.5"/>
    <row r="1048339" customFormat="1" ht="13.5"/>
    <row r="1048340" customFormat="1" ht="13.5"/>
    <row r="1048341" customFormat="1" ht="13.5"/>
    <row r="1048342" customFormat="1" ht="13.5"/>
    <row r="1048343" customFormat="1" ht="13.5"/>
    <row r="1048344" customFormat="1" ht="13.5"/>
    <row r="1048345" customFormat="1" ht="13.5"/>
    <row r="1048346" customFormat="1" ht="13.5"/>
    <row r="1048347" customFormat="1" ht="13.5"/>
    <row r="1048348" customFormat="1" ht="13.5"/>
    <row r="1048349" customFormat="1" ht="13.5"/>
    <row r="1048350" customFormat="1" ht="13.5"/>
    <row r="1048351" customFormat="1" ht="13.5"/>
    <row r="1048352" customFormat="1" ht="13.5"/>
    <row r="1048353" customFormat="1" ht="13.5"/>
    <row r="1048354" customFormat="1" ht="13.5"/>
    <row r="1048355" customFormat="1" ht="13.5"/>
    <row r="1048356" customFormat="1" ht="13.5"/>
    <row r="1048357" customFormat="1" ht="13.5"/>
    <row r="1048358" customFormat="1" ht="13.5"/>
    <row r="1048359" customFormat="1" ht="13.5"/>
    <row r="1048360" customFormat="1" ht="13.5"/>
    <row r="1048361" customFormat="1" ht="13.5"/>
    <row r="1048362" customFormat="1" ht="13.5"/>
    <row r="1048363" customFormat="1" ht="13.5"/>
    <row r="1048364" customFormat="1" ht="13.5"/>
    <row r="1048365" customFormat="1" ht="13.5"/>
    <row r="1048366" customFormat="1" ht="13.5"/>
    <row r="1048367" customFormat="1" ht="13.5"/>
    <row r="1048368" customFormat="1" ht="13.5"/>
    <row r="1048369" customFormat="1" ht="13.5"/>
    <row r="1048370" customFormat="1" ht="13.5"/>
    <row r="1048371" customFormat="1" ht="13.5"/>
    <row r="1048372" customFormat="1" ht="13.5"/>
    <row r="1048373" customFormat="1" ht="13.5"/>
    <row r="1048374" customFormat="1" ht="13.5"/>
    <row r="1048375" customFormat="1" ht="13.5"/>
    <row r="1048376" customFormat="1" ht="13.5"/>
    <row r="1048377" customFormat="1" ht="13.5"/>
    <row r="1048378" customFormat="1" ht="13.5"/>
    <row r="1048379" customFormat="1" ht="13.5"/>
    <row r="1048380" customFormat="1" ht="13.5"/>
    <row r="1048381" customFormat="1" ht="13.5"/>
    <row r="1048382" customFormat="1" ht="13.5"/>
    <row r="1048383" customFormat="1" ht="13.5"/>
    <row r="1048384" customFormat="1" ht="13.5"/>
    <row r="1048385" customFormat="1" ht="13.5"/>
    <row r="1048386" customFormat="1" ht="13.5"/>
    <row r="1048387" customFormat="1" ht="13.5"/>
    <row r="1048388" customFormat="1" ht="13.5"/>
    <row r="1048389" customFormat="1" ht="13.5"/>
    <row r="1048390" customFormat="1" ht="13.5"/>
    <row r="1048391" customFormat="1" ht="13.5"/>
    <row r="1048392" customFormat="1" ht="13.5"/>
    <row r="1048393" customFormat="1" ht="13.5"/>
    <row r="1048394" customFormat="1" ht="13.5"/>
    <row r="1048395" customFormat="1" ht="13.5"/>
    <row r="1048396" customFormat="1" ht="13.5"/>
    <row r="1048397" customFormat="1" ht="13.5"/>
    <row r="1048398" customFormat="1" ht="13.5"/>
    <row r="1048399" customFormat="1" ht="13.5"/>
    <row r="1048400" customFormat="1" ht="13.5"/>
    <row r="1048401" customFormat="1" ht="13.5"/>
    <row r="1048402" customFormat="1" ht="13.5"/>
    <row r="1048403" customFormat="1" ht="13.5"/>
    <row r="1048404" customFormat="1" ht="13.5"/>
    <row r="1048405" customFormat="1" ht="13.5"/>
    <row r="1048406" customFormat="1" ht="13.5"/>
    <row r="1048407" customFormat="1" ht="13.5"/>
    <row r="1048408" customFormat="1" ht="13.5"/>
    <row r="1048409" customFormat="1" ht="13.5"/>
    <row r="1048410" customFormat="1" ht="13.5"/>
    <row r="1048411" customFormat="1" ht="13.5"/>
    <row r="1048412" customFormat="1" ht="13.5"/>
    <row r="1048413" customFormat="1" ht="13.5"/>
    <row r="1048414" customFormat="1" ht="13.5"/>
    <row r="1048415" customFormat="1" ht="13.5"/>
    <row r="1048416" customFormat="1" ht="13.5"/>
    <row r="1048417" customFormat="1" ht="13.5"/>
    <row r="1048418" customFormat="1" ht="13.5"/>
    <row r="1048419" customFormat="1" ht="13.5"/>
    <row r="1048420" customFormat="1" ht="13.5"/>
    <row r="1048421" customFormat="1" ht="13.5"/>
    <row r="1048422" customFormat="1" ht="13.5"/>
    <row r="1048423" customFormat="1" ht="13.5"/>
    <row r="1048424" customFormat="1" ht="13.5"/>
    <row r="1048425" customFormat="1" ht="13.5"/>
    <row r="1048426" customFormat="1" ht="13.5"/>
    <row r="1048427" customFormat="1" ht="13.5"/>
    <row r="1048428" customFormat="1" ht="13.5"/>
    <row r="1048429" customFormat="1" ht="13.5"/>
    <row r="1048430" customFormat="1" ht="13.5"/>
    <row r="1048431" customFormat="1" ht="13.5"/>
    <row r="1048432" customFormat="1" ht="13.5"/>
    <row r="1048433" customFormat="1" ht="13.5"/>
    <row r="1048434" customFormat="1" ht="13.5"/>
    <row r="1048435" customFormat="1" ht="13.5"/>
    <row r="1048436" customFormat="1" ht="13.5"/>
    <row r="1048437" customFormat="1" ht="13.5"/>
    <row r="1048438" customFormat="1" ht="13.5"/>
    <row r="1048439" customFormat="1" ht="13.5"/>
    <row r="1048440" customFormat="1" ht="13.5"/>
    <row r="1048441" customFormat="1" ht="13.5"/>
    <row r="1048442" customFormat="1" ht="13.5"/>
    <row r="1048443" customFormat="1" ht="13.5"/>
    <row r="1048444" customFormat="1" ht="13.5"/>
    <row r="1048445" customFormat="1" ht="13.5"/>
    <row r="1048446" customFormat="1" ht="13.5"/>
    <row r="1048447" customFormat="1" ht="13.5"/>
    <row r="1048448" customFormat="1" ht="13.5"/>
    <row r="1048449" customFormat="1" ht="13.5"/>
    <row r="1048450" customFormat="1" ht="13.5"/>
    <row r="1048451" customFormat="1" ht="13.5"/>
    <row r="1048452" customFormat="1" ht="13.5"/>
    <row r="1048453" customFormat="1" ht="13.5"/>
    <row r="1048454" customFormat="1" ht="13.5"/>
    <row r="1048455" customFormat="1" ht="13.5"/>
    <row r="1048456" customFormat="1" ht="13.5"/>
    <row r="1048457" customFormat="1" ht="13.5"/>
    <row r="1048458" customFormat="1" ht="13.5"/>
    <row r="1048459" customFormat="1" ht="13.5"/>
    <row r="1048460" customFormat="1" ht="13.5"/>
    <row r="1048461" customFormat="1" ht="13.5"/>
    <row r="1048462" customFormat="1" ht="13.5"/>
    <row r="1048463" customFormat="1" ht="13.5"/>
    <row r="1048464" customFormat="1" ht="13.5"/>
    <row r="1048465" customFormat="1" ht="13.5"/>
    <row r="1048466" customFormat="1" ht="13.5"/>
    <row r="1048467" customFormat="1" ht="13.5"/>
    <row r="1048468" customFormat="1" ht="13.5"/>
    <row r="1048469" customFormat="1" ht="13.5"/>
    <row r="1048470" customFormat="1" ht="13.5"/>
    <row r="1048471" customFormat="1" ht="13.5"/>
    <row r="1048472" customFormat="1" ht="13.5"/>
    <row r="1048473" customFormat="1" ht="13.5"/>
    <row r="1048474" customFormat="1" ht="13.5"/>
    <row r="1048475" customFormat="1" ht="13.5"/>
    <row r="1048476" customFormat="1" ht="13.5"/>
    <row r="1048477" customFormat="1" ht="13.5"/>
    <row r="1048478" customFormat="1" ht="13.5"/>
    <row r="1048479" customFormat="1" ht="13.5"/>
    <row r="1048480" customFormat="1" ht="13.5"/>
    <row r="1048481" customFormat="1" ht="13.5"/>
    <row r="1048482" customFormat="1" ht="13.5"/>
    <row r="1048483" customFormat="1" ht="13.5"/>
    <row r="1048484" customFormat="1" ht="13.5"/>
    <row r="1048485" customFormat="1" ht="13.5"/>
    <row r="1048486" customFormat="1" ht="13.5"/>
    <row r="1048487" customFormat="1" ht="13.5"/>
    <row r="1048488" customFormat="1" ht="13.5"/>
    <row r="1048489" customFormat="1" ht="13.5"/>
    <row r="1048490" customFormat="1" ht="13.5"/>
    <row r="1048491" customFormat="1" ht="13.5"/>
    <row r="1048492" customFormat="1" ht="13.5"/>
    <row r="1048493" customFormat="1" ht="13.5"/>
    <row r="1048494" customFormat="1" ht="13.5"/>
    <row r="1048495" customFormat="1" ht="13.5"/>
    <row r="1048496" customFormat="1" ht="13.5"/>
    <row r="1048497" customFormat="1" ht="13.5"/>
    <row r="1048498" customFormat="1" ht="13.5"/>
    <row r="1048499" customFormat="1" ht="13.5"/>
    <row r="1048500" customFormat="1" ht="13.5"/>
    <row r="1048501" customFormat="1" ht="13.5"/>
    <row r="1048502" customFormat="1" ht="13.5"/>
    <row r="1048503" customFormat="1" ht="13.5"/>
    <row r="1048504" customFormat="1" ht="13.5"/>
    <row r="1048505" customFormat="1" ht="13.5"/>
    <row r="1048506" customFormat="1" ht="13.5"/>
    <row r="1048507" customFormat="1" ht="13.5"/>
    <row r="1048508" customFormat="1" ht="13.5"/>
    <row r="1048509" customFormat="1" ht="13.5"/>
    <row r="1048510" customFormat="1" ht="13.5"/>
    <row r="1048511" customFormat="1" ht="13.5"/>
    <row r="1048512" customFormat="1" ht="13.5"/>
    <row r="1048513" customFormat="1" ht="13.5"/>
    <row r="1048514" customFormat="1" ht="13.5"/>
    <row r="1048515" customFormat="1" ht="13.5"/>
    <row r="1048516" customFormat="1" ht="13.5"/>
    <row r="1048517" customFormat="1" ht="13.5"/>
    <row r="1048518" customFormat="1" ht="13.5"/>
    <row r="1048519" customFormat="1" ht="13.5"/>
    <row r="1048520" customFormat="1" ht="13.5"/>
    <row r="1048521" customFormat="1" ht="13.5"/>
    <row r="1048522" customFormat="1" ht="13.5"/>
    <row r="1048523" customFormat="1" ht="13.5"/>
    <row r="1048524" customFormat="1" ht="13.5"/>
    <row r="1048525" customFormat="1" ht="13.5"/>
    <row r="1048526" customFormat="1" ht="13.5"/>
    <row r="1048527" customFormat="1" ht="13.5"/>
    <row r="1048528" customFormat="1" ht="13.5"/>
    <row r="1048529" customFormat="1" ht="13.5"/>
    <row r="1048530" customFormat="1" ht="13.5"/>
    <row r="1048531" customFormat="1" ht="13.5"/>
    <row r="1048532" customFormat="1" ht="13.5"/>
    <row r="1048533" customFormat="1" ht="13.5"/>
    <row r="1048534" customFormat="1" ht="13.5"/>
    <row r="1048535" customFormat="1" ht="13.5"/>
    <row r="1048536" customFormat="1" ht="13.5"/>
    <row r="1048537" customFormat="1" ht="13.5"/>
    <row r="1048538" customFormat="1" ht="13.5"/>
    <row r="1048539" customFormat="1" ht="13.5"/>
    <row r="1048540" customFormat="1" ht="13.5"/>
    <row r="1048541" customFormat="1" ht="13.5"/>
    <row r="1048542" customFormat="1" ht="13.5"/>
    <row r="1048543" customFormat="1" ht="13.5"/>
    <row r="1048544" customFormat="1" ht="13.5"/>
    <row r="1048545" customFormat="1" ht="13.5"/>
    <row r="1048546" customFormat="1" ht="13.5"/>
    <row r="1048547" customFormat="1" ht="13.5"/>
    <row r="1048548" customFormat="1" ht="13.5"/>
    <row r="1048549" customFormat="1" ht="13.5"/>
    <row r="1048550" customFormat="1" ht="13.5"/>
    <row r="1048551" customFormat="1" ht="13.5"/>
    <row r="1048552" customFormat="1" ht="13.5"/>
    <row r="1048553" customFormat="1" ht="13.5"/>
    <row r="1048554" customFormat="1" ht="13.5"/>
    <row r="1048555" customFormat="1" ht="13.5"/>
    <row r="1048556" customFormat="1" ht="13.5"/>
    <row r="1048557" customFormat="1" ht="13.5"/>
    <row r="1048558" customFormat="1" ht="13.5"/>
    <row r="1048559" customFormat="1" ht="13.5"/>
    <row r="1048560" customFormat="1" ht="13.5"/>
    <row r="1048561" customFormat="1" ht="13.5"/>
    <row r="1048562" customFormat="1" ht="13.5"/>
    <row r="1048563" customFormat="1" ht="13.5"/>
    <row r="1048564" customFormat="1" ht="13.5"/>
    <row r="1048565" customFormat="1" ht="13.5"/>
    <row r="1048566" customFormat="1" ht="13.5"/>
    <row r="1048567" customFormat="1" ht="13.5"/>
    <row r="1048568" customFormat="1" ht="13.5"/>
    <row r="1048569" customFormat="1" ht="13.5"/>
    <row r="1048570" customFormat="1" ht="13.5"/>
    <row r="1048571" customFormat="1" ht="13.5"/>
  </sheetData>
  <mergeCells count="19">
    <mergeCell ref="F7:F9"/>
    <mergeCell ref="F14:F16"/>
    <mergeCell ref="F17:F20"/>
    <mergeCell ref="F21:F24"/>
    <mergeCell ref="F25:F29"/>
    <mergeCell ref="F31:F34"/>
    <mergeCell ref="F35:F38"/>
    <mergeCell ref="F39:F41"/>
    <mergeCell ref="F42:F45"/>
    <mergeCell ref="F56:F60"/>
    <mergeCell ref="F64:F67"/>
    <mergeCell ref="F68:F70"/>
    <mergeCell ref="F71:F75"/>
    <mergeCell ref="F76:F85"/>
    <mergeCell ref="F86:F90"/>
    <mergeCell ref="F97:F101"/>
    <mergeCell ref="F102:F106"/>
    <mergeCell ref="F117:F128"/>
    <mergeCell ref="G56:G60"/>
  </mergeCells>
  <conditionalFormatting sqref="H10">
    <cfRule type="containsText" dxfId="0" priority="565" operator="between" text="送full途中">
      <formula>NOT(ISERROR(SEARCH("送full途中",H10)))</formula>
    </cfRule>
    <cfRule type="cellIs" dxfId="1" priority="566" operator="equal">
      <formula>"海外仓"</formula>
    </cfRule>
    <cfRule type="containsText" dxfId="2" priority="567" operator="between" text="入full途中">
      <formula>NOT(ISERROR(SEARCH("入full途中",H10)))</formula>
    </cfRule>
    <cfRule type="cellIs" dxfId="3" priority="568" operator="equal">
      <formula>"约仓中"</formula>
    </cfRule>
  </conditionalFormatting>
  <conditionalFormatting sqref="I10">
    <cfRule type="containsText" dxfId="4" priority="569" operator="between" text="罚款">
      <formula>NOT(ISERROR(SEARCH("罚款",I10)))</formula>
    </cfRule>
    <cfRule type="containsText" dxfId="5" priority="570" operator="between" text="预约-">
      <formula>NOT(ISERROR(SEARCH("预约-",I10)))</formula>
    </cfRule>
    <cfRule type="containsText" dxfId="0" priority="571" operator="between" text="预约中">
      <formula>NOT(ISERROR(SEARCH("预约中",I10)))</formula>
    </cfRule>
  </conditionalFormatting>
  <conditionalFormatting sqref="J10">
    <cfRule type="containsText" dxfId="4" priority="572" operator="between" text="罚款">
      <formula>NOT(ISERROR(SEARCH("罚款",J10)))</formula>
    </cfRule>
    <cfRule type="containsText" dxfId="5" priority="573" operator="between" text="预约-">
      <formula>NOT(ISERROR(SEARCH("预约-",J10)))</formula>
    </cfRule>
    <cfRule type="containsText" dxfId="0" priority="574" operator="between" text="预约中">
      <formula>NOT(ISERROR(SEARCH("预约中",J10)))</formula>
    </cfRule>
  </conditionalFormatting>
  <conditionalFormatting sqref="H11">
    <cfRule type="containsText" dxfId="0" priority="505" operator="between" text="送full途中">
      <formula>NOT(ISERROR(SEARCH("送full途中",H11)))</formula>
    </cfRule>
    <cfRule type="cellIs" dxfId="1" priority="506" operator="equal">
      <formula>"海外仓"</formula>
    </cfRule>
    <cfRule type="containsText" dxfId="2" priority="507" operator="between" text="入full途中">
      <formula>NOT(ISERROR(SEARCH("入full途中",H11)))</formula>
    </cfRule>
    <cfRule type="cellIs" dxfId="3" priority="508" operator="equal">
      <formula>"约仓中"</formula>
    </cfRule>
  </conditionalFormatting>
  <conditionalFormatting sqref="H12">
    <cfRule type="containsText" dxfId="0" priority="514" operator="between" text="送full途中">
      <formula>NOT(ISERROR(SEARCH("送full途中",H12)))</formula>
    </cfRule>
    <cfRule type="cellIs" dxfId="1" priority="515" operator="equal">
      <formula>"海外仓"</formula>
    </cfRule>
    <cfRule type="containsText" dxfId="2" priority="516" operator="between" text="入full途中">
      <formula>NOT(ISERROR(SEARCH("入full途中",H12)))</formula>
    </cfRule>
    <cfRule type="cellIs" dxfId="3" priority="517" operator="equal">
      <formula>"约仓中"</formula>
    </cfRule>
  </conditionalFormatting>
  <conditionalFormatting sqref="H13">
    <cfRule type="containsText" dxfId="0" priority="510" operator="between" text="送full途中">
      <formula>NOT(ISERROR(SEARCH("送full途中",H13)))</formula>
    </cfRule>
    <cfRule type="cellIs" dxfId="1" priority="511" operator="equal">
      <formula>"海外仓"</formula>
    </cfRule>
    <cfRule type="containsText" dxfId="2" priority="512" operator="between" text="入full途中">
      <formula>NOT(ISERROR(SEARCH("入full途中",H13)))</formula>
    </cfRule>
    <cfRule type="cellIs" dxfId="3" priority="513" operator="equal">
      <formula>"约仓中"</formula>
    </cfRule>
  </conditionalFormatting>
  <conditionalFormatting sqref="H30">
    <cfRule type="containsText" dxfId="0" priority="141" operator="between" text="送full途中">
      <formula>NOT(ISERROR(SEARCH("送full途中",H30)))</formula>
    </cfRule>
    <cfRule type="cellIs" dxfId="1" priority="142" operator="equal">
      <formula>"海外仓"</formula>
    </cfRule>
    <cfRule type="containsText" dxfId="2" priority="143" operator="between" text="入full途中">
      <formula>NOT(ISERROR(SEARCH("入full途中",H30)))</formula>
    </cfRule>
    <cfRule type="cellIs" dxfId="3" priority="144" operator="equal">
      <formula>"约仓中"</formula>
    </cfRule>
  </conditionalFormatting>
  <conditionalFormatting sqref="H46">
    <cfRule type="containsText" dxfId="0" priority="322" operator="between" text="送full途中">
      <formula>NOT(ISERROR(SEARCH("送full途中",H46)))</formula>
    </cfRule>
    <cfRule type="cellIs" dxfId="1" priority="323" operator="equal">
      <formula>"海外仓"</formula>
    </cfRule>
    <cfRule type="containsText" dxfId="2" priority="324" operator="between" text="入full途中">
      <formula>NOT(ISERROR(SEARCH("入full途中",H46)))</formula>
    </cfRule>
    <cfRule type="cellIs" dxfId="3" priority="325" operator="equal">
      <formula>"约仓中"</formula>
    </cfRule>
  </conditionalFormatting>
  <conditionalFormatting sqref="H51">
    <cfRule type="containsText" dxfId="0" priority="318" operator="between" text="送full途中">
      <formula>NOT(ISERROR(SEARCH("送full途中",H51)))</formula>
    </cfRule>
    <cfRule type="cellIs" dxfId="1" priority="319" operator="equal">
      <formula>"海外仓"</formula>
    </cfRule>
    <cfRule type="containsText" dxfId="2" priority="320" operator="between" text="入full途中">
      <formula>NOT(ISERROR(SEARCH("入full途中",H51)))</formula>
    </cfRule>
    <cfRule type="cellIs" dxfId="3" priority="321" operator="equal">
      <formula>"约仓中"</formula>
    </cfRule>
  </conditionalFormatting>
  <conditionalFormatting sqref="O51">
    <cfRule type="cellIs" dxfId="6" priority="497" operator="greaterThan">
      <formula>60</formula>
    </cfRule>
  </conditionalFormatting>
  <conditionalFormatting sqref="O52">
    <cfRule type="cellIs" dxfId="6" priority="496" operator="greaterThan">
      <formula>60</formula>
    </cfRule>
  </conditionalFormatting>
  <conditionalFormatting sqref="O53">
    <cfRule type="cellIs" dxfId="6" priority="495" operator="greaterThan">
      <formula>60</formula>
    </cfRule>
  </conditionalFormatting>
  <conditionalFormatting sqref="O54">
    <cfRule type="cellIs" dxfId="6" priority="494" operator="greaterThan">
      <formula>60</formula>
    </cfRule>
  </conditionalFormatting>
  <conditionalFormatting sqref="H55">
    <cfRule type="containsText" dxfId="0" priority="15" operator="between" text="送full途中">
      <formula>NOT(ISERROR(SEARCH("送full途中",H55)))</formula>
    </cfRule>
    <cfRule type="cellIs" dxfId="1" priority="16" operator="equal">
      <formula>"海外仓"</formula>
    </cfRule>
    <cfRule type="containsText" dxfId="2" priority="17" operator="between" text="入full途中">
      <formula>NOT(ISERROR(SEARCH("入full途中",H55)))</formula>
    </cfRule>
    <cfRule type="cellIs" dxfId="3" priority="18" operator="equal">
      <formula>"约仓中"</formula>
    </cfRule>
  </conditionalFormatting>
  <conditionalFormatting sqref="H56">
    <cfRule type="containsText" dxfId="0" priority="453" operator="between" text="送full途中">
      <formula>NOT(ISERROR(SEARCH("送full途中",H56)))</formula>
    </cfRule>
    <cfRule type="cellIs" dxfId="1" priority="459" operator="equal">
      <formula>"海外仓"</formula>
    </cfRule>
    <cfRule type="containsText" dxfId="2" priority="465" operator="between" text="入full途中">
      <formula>NOT(ISERROR(SEARCH("入full途中",H56)))</formula>
    </cfRule>
    <cfRule type="cellIs" dxfId="3" priority="471" operator="equal">
      <formula>"约仓中"</formula>
    </cfRule>
  </conditionalFormatting>
  <conditionalFormatting sqref="I56">
    <cfRule type="containsText" dxfId="7" priority="442" operator="between" text="/">
      <formula>NOT(ISERROR(SEARCH("/",I56)))</formula>
    </cfRule>
    <cfRule type="cellIs" dxfId="8" priority="447" operator="greaterThan">
      <formula>0</formula>
    </cfRule>
  </conditionalFormatting>
  <conditionalFormatting sqref="H57">
    <cfRule type="containsText" dxfId="0" priority="452" operator="between" text="送full途中">
      <formula>NOT(ISERROR(SEARCH("送full途中",H57)))</formula>
    </cfRule>
    <cfRule type="cellIs" dxfId="1" priority="458" operator="equal">
      <formula>"海外仓"</formula>
    </cfRule>
    <cfRule type="containsText" dxfId="2" priority="464" operator="between" text="入full途中">
      <formula>NOT(ISERROR(SEARCH("入full途中",H57)))</formula>
    </cfRule>
    <cfRule type="cellIs" dxfId="3" priority="470" operator="equal">
      <formula>"约仓中"</formula>
    </cfRule>
  </conditionalFormatting>
  <conditionalFormatting sqref="I57">
    <cfRule type="containsText" dxfId="7" priority="441" operator="between" text="/">
      <formula>NOT(ISERROR(SEARCH("/",I57)))</formula>
    </cfRule>
    <cfRule type="cellIs" dxfId="8" priority="446" operator="greaterThan">
      <formula>0</formula>
    </cfRule>
  </conditionalFormatting>
  <conditionalFormatting sqref="H58">
    <cfRule type="containsText" dxfId="0" priority="451" operator="between" text="送full途中">
      <formula>NOT(ISERROR(SEARCH("送full途中",H58)))</formula>
    </cfRule>
    <cfRule type="cellIs" dxfId="1" priority="457" operator="equal">
      <formula>"海外仓"</formula>
    </cfRule>
    <cfRule type="containsText" dxfId="2" priority="463" operator="between" text="入full途中">
      <formula>NOT(ISERROR(SEARCH("入full途中",H58)))</formula>
    </cfRule>
    <cfRule type="cellIs" dxfId="3" priority="469" operator="equal">
      <formula>"约仓中"</formula>
    </cfRule>
  </conditionalFormatting>
  <conditionalFormatting sqref="I58">
    <cfRule type="containsText" dxfId="7" priority="440" operator="between" text="/">
      <formula>NOT(ISERROR(SEARCH("/",I58)))</formula>
    </cfRule>
    <cfRule type="cellIs" dxfId="8" priority="445" operator="greaterThan">
      <formula>0</formula>
    </cfRule>
  </conditionalFormatting>
  <conditionalFormatting sqref="H59">
    <cfRule type="containsText" dxfId="0" priority="450" operator="between" text="送full途中">
      <formula>NOT(ISERROR(SEARCH("送full途中",H59)))</formula>
    </cfRule>
    <cfRule type="cellIs" dxfId="1" priority="456" operator="equal">
      <formula>"海外仓"</formula>
    </cfRule>
    <cfRule type="containsText" dxfId="2" priority="462" operator="between" text="入full途中">
      <formula>NOT(ISERROR(SEARCH("入full途中",H59)))</formula>
    </cfRule>
    <cfRule type="cellIs" dxfId="3" priority="468" operator="equal">
      <formula>"约仓中"</formula>
    </cfRule>
  </conditionalFormatting>
  <conditionalFormatting sqref="I59">
    <cfRule type="containsText" dxfId="7" priority="439" operator="between" text="/">
      <formula>NOT(ISERROR(SEARCH("/",I59)))</formula>
    </cfRule>
    <cfRule type="cellIs" dxfId="8" priority="444" operator="greaterThan">
      <formula>0</formula>
    </cfRule>
  </conditionalFormatting>
  <conditionalFormatting sqref="H60">
    <cfRule type="containsText" dxfId="0" priority="449" operator="between" text="送full途中">
      <formula>NOT(ISERROR(SEARCH("送full途中",H60)))</formula>
    </cfRule>
    <cfRule type="cellIs" dxfId="1" priority="455" operator="equal">
      <formula>"海外仓"</formula>
    </cfRule>
    <cfRule type="containsText" dxfId="2" priority="461" operator="between" text="入full途中">
      <formula>NOT(ISERROR(SEARCH("入full途中",H60)))</formula>
    </cfRule>
    <cfRule type="cellIs" dxfId="3" priority="467" operator="equal">
      <formula>"约仓中"</formula>
    </cfRule>
  </conditionalFormatting>
  <conditionalFormatting sqref="I60">
    <cfRule type="containsText" dxfId="7" priority="438" operator="between" text="/">
      <formula>NOT(ISERROR(SEARCH("/",I60)))</formula>
    </cfRule>
    <cfRule type="cellIs" dxfId="8" priority="443" operator="greaterThan">
      <formula>0</formula>
    </cfRule>
  </conditionalFormatting>
  <conditionalFormatting sqref="H64">
    <cfRule type="containsText" dxfId="0" priority="406" operator="between" text="送full途中">
      <formula>NOT(ISERROR(SEARCH("送full途中",H64)))</formula>
    </cfRule>
    <cfRule type="cellIs" dxfId="1" priority="414" operator="equal">
      <formula>"海外仓"</formula>
    </cfRule>
    <cfRule type="containsText" dxfId="2" priority="422" operator="between" text="入full途中">
      <formula>NOT(ISERROR(SEARCH("入full途中",H64)))</formula>
    </cfRule>
    <cfRule type="cellIs" dxfId="3" priority="430" operator="equal">
      <formula>"约仓中"</formula>
    </cfRule>
  </conditionalFormatting>
  <conditionalFormatting sqref="I64">
    <cfRule type="containsText" dxfId="7" priority="391" operator="between" text="/">
      <formula>NOT(ISERROR(SEARCH("/",I64)))</formula>
    </cfRule>
    <cfRule type="cellIs" dxfId="8" priority="398" operator="greaterThan">
      <formula>0</formula>
    </cfRule>
  </conditionalFormatting>
  <conditionalFormatting sqref="O64">
    <cfRule type="cellIs" dxfId="6" priority="384" operator="greaterThan">
      <formula>60</formula>
    </cfRule>
  </conditionalFormatting>
  <conditionalFormatting sqref="H65">
    <cfRule type="containsText" dxfId="0" priority="405" operator="between" text="送full途中">
      <formula>NOT(ISERROR(SEARCH("送full途中",H65)))</formula>
    </cfRule>
    <cfRule type="cellIs" dxfId="1" priority="413" operator="equal">
      <formula>"海外仓"</formula>
    </cfRule>
    <cfRule type="containsText" dxfId="2" priority="421" operator="between" text="入full途中">
      <formula>NOT(ISERROR(SEARCH("入full途中",H65)))</formula>
    </cfRule>
    <cfRule type="cellIs" dxfId="3" priority="429" operator="equal">
      <formula>"约仓中"</formula>
    </cfRule>
  </conditionalFormatting>
  <conditionalFormatting sqref="I65">
    <cfRule type="containsText" dxfId="7" priority="390" operator="between" text="/">
      <formula>NOT(ISERROR(SEARCH("/",I65)))</formula>
    </cfRule>
    <cfRule type="cellIs" dxfId="8" priority="397" operator="greaterThan">
      <formula>0</formula>
    </cfRule>
  </conditionalFormatting>
  <conditionalFormatting sqref="O65">
    <cfRule type="cellIs" dxfId="6" priority="383" operator="greaterThan">
      <formula>60</formula>
    </cfRule>
  </conditionalFormatting>
  <conditionalFormatting sqref="H66">
    <cfRule type="containsText" dxfId="0" priority="404" operator="between" text="送full途中">
      <formula>NOT(ISERROR(SEARCH("送full途中",H66)))</formula>
    </cfRule>
    <cfRule type="cellIs" dxfId="1" priority="412" operator="equal">
      <formula>"海外仓"</formula>
    </cfRule>
    <cfRule type="containsText" dxfId="2" priority="420" operator="between" text="入full途中">
      <formula>NOT(ISERROR(SEARCH("入full途中",H66)))</formula>
    </cfRule>
    <cfRule type="cellIs" dxfId="3" priority="428" operator="equal">
      <formula>"约仓中"</formula>
    </cfRule>
  </conditionalFormatting>
  <conditionalFormatting sqref="I66">
    <cfRule type="containsText" dxfId="7" priority="389" operator="between" text="/">
      <formula>NOT(ISERROR(SEARCH("/",I66)))</formula>
    </cfRule>
    <cfRule type="cellIs" dxfId="8" priority="396" operator="greaterThan">
      <formula>0</formula>
    </cfRule>
  </conditionalFormatting>
  <conditionalFormatting sqref="O66">
    <cfRule type="cellIs" dxfId="6" priority="382" operator="greaterThan">
      <formula>60</formula>
    </cfRule>
  </conditionalFormatting>
  <conditionalFormatting sqref="H67">
    <cfRule type="containsText" dxfId="0" priority="403" operator="between" text="送full途中">
      <formula>NOT(ISERROR(SEARCH("送full途中",H67)))</formula>
    </cfRule>
    <cfRule type="cellIs" dxfId="1" priority="411" operator="equal">
      <formula>"海外仓"</formula>
    </cfRule>
    <cfRule type="containsText" dxfId="2" priority="419" operator="between" text="入full途中">
      <formula>NOT(ISERROR(SEARCH("入full途中",H67)))</formula>
    </cfRule>
    <cfRule type="cellIs" dxfId="3" priority="427" operator="equal">
      <formula>"约仓中"</formula>
    </cfRule>
  </conditionalFormatting>
  <conditionalFormatting sqref="I67">
    <cfRule type="containsText" dxfId="7" priority="388" operator="between" text="/">
      <formula>NOT(ISERROR(SEARCH("/",I67)))</formula>
    </cfRule>
    <cfRule type="cellIs" dxfId="8" priority="395" operator="greaterThan">
      <formula>0</formula>
    </cfRule>
  </conditionalFormatting>
  <conditionalFormatting sqref="O67">
    <cfRule type="cellIs" dxfId="6" priority="381" operator="greaterThan">
      <formula>60</formula>
    </cfRule>
  </conditionalFormatting>
  <conditionalFormatting sqref="H68">
    <cfRule type="containsText" dxfId="0" priority="402" operator="between" text="送full途中">
      <formula>NOT(ISERROR(SEARCH("送full途中",H68)))</formula>
    </cfRule>
    <cfRule type="cellIs" dxfId="1" priority="410" operator="equal">
      <formula>"海外仓"</formula>
    </cfRule>
    <cfRule type="containsText" dxfId="2" priority="418" operator="between" text="入full途中">
      <formula>NOT(ISERROR(SEARCH("入full途中",H68)))</formula>
    </cfRule>
    <cfRule type="cellIs" dxfId="3" priority="426" operator="equal">
      <formula>"约仓中"</formula>
    </cfRule>
  </conditionalFormatting>
  <conditionalFormatting sqref="I68">
    <cfRule type="containsText" dxfId="7" priority="387" operator="between" text="/">
      <formula>NOT(ISERROR(SEARCH("/",I68)))</formula>
    </cfRule>
    <cfRule type="cellIs" dxfId="8" priority="394" operator="greaterThan">
      <formula>0</formula>
    </cfRule>
  </conditionalFormatting>
  <conditionalFormatting sqref="O68">
    <cfRule type="cellIs" dxfId="6" priority="380" operator="greaterThan">
      <formula>60</formula>
    </cfRule>
  </conditionalFormatting>
  <conditionalFormatting sqref="H69">
    <cfRule type="containsText" dxfId="0" priority="401" operator="between" text="送full途中">
      <formula>NOT(ISERROR(SEARCH("送full途中",H69)))</formula>
    </cfRule>
    <cfRule type="cellIs" dxfId="1" priority="409" operator="equal">
      <formula>"海外仓"</formula>
    </cfRule>
    <cfRule type="containsText" dxfId="2" priority="417" operator="between" text="入full途中">
      <formula>NOT(ISERROR(SEARCH("入full途中",H69)))</formula>
    </cfRule>
    <cfRule type="cellIs" dxfId="3" priority="425" operator="equal">
      <formula>"约仓中"</formula>
    </cfRule>
  </conditionalFormatting>
  <conditionalFormatting sqref="I69">
    <cfRule type="containsText" dxfId="7" priority="386" operator="between" text="/">
      <formula>NOT(ISERROR(SEARCH("/",I69)))</formula>
    </cfRule>
    <cfRule type="cellIs" dxfId="8" priority="393" operator="greaterThan">
      <formula>0</formula>
    </cfRule>
  </conditionalFormatting>
  <conditionalFormatting sqref="O69">
    <cfRule type="cellIs" dxfId="6" priority="379" operator="greaterThan">
      <formula>60</formula>
    </cfRule>
  </conditionalFormatting>
  <conditionalFormatting sqref="H70">
    <cfRule type="containsText" dxfId="0" priority="400" operator="between" text="送full途中">
      <formula>NOT(ISERROR(SEARCH("送full途中",H70)))</formula>
    </cfRule>
    <cfRule type="cellIs" dxfId="1" priority="408" operator="equal">
      <formula>"海外仓"</formula>
    </cfRule>
    <cfRule type="containsText" dxfId="2" priority="416" operator="between" text="入full途中">
      <formula>NOT(ISERROR(SEARCH("入full途中",H70)))</formula>
    </cfRule>
    <cfRule type="cellIs" dxfId="3" priority="424" operator="equal">
      <formula>"约仓中"</formula>
    </cfRule>
  </conditionalFormatting>
  <conditionalFormatting sqref="I70">
    <cfRule type="containsText" dxfId="7" priority="385" operator="between" text="/">
      <formula>NOT(ISERROR(SEARCH("/",I70)))</formula>
    </cfRule>
    <cfRule type="cellIs" dxfId="8" priority="392" operator="greaterThan">
      <formula>0</formula>
    </cfRule>
  </conditionalFormatting>
  <conditionalFormatting sqref="O70">
    <cfRule type="cellIs" dxfId="6" priority="378" operator="greaterThan">
      <formula>60</formula>
    </cfRule>
  </conditionalFormatting>
  <conditionalFormatting sqref="O71">
    <cfRule type="cellIs" dxfId="6" priority="377" operator="greaterThan">
      <formula>60</formula>
    </cfRule>
  </conditionalFormatting>
  <conditionalFormatting sqref="O72">
    <cfRule type="cellIs" dxfId="6" priority="376" operator="greaterThan">
      <formula>60</formula>
    </cfRule>
  </conditionalFormatting>
  <conditionalFormatting sqref="O73">
    <cfRule type="cellIs" dxfId="6" priority="375" operator="greaterThan">
      <formula>60</formula>
    </cfRule>
  </conditionalFormatting>
  <conditionalFormatting sqref="O74">
    <cfRule type="cellIs" dxfId="6" priority="374" operator="greaterThan">
      <formula>60</formula>
    </cfRule>
  </conditionalFormatting>
  <conditionalFormatting sqref="O75">
    <cfRule type="cellIs" dxfId="6" priority="373" operator="greaterThan">
      <formula>60</formula>
    </cfRule>
  </conditionalFormatting>
  <conditionalFormatting sqref="O76">
    <cfRule type="cellIs" dxfId="6" priority="372" operator="greaterThan">
      <formula>60</formula>
    </cfRule>
  </conditionalFormatting>
  <conditionalFormatting sqref="O77">
    <cfRule type="cellIs" dxfId="6" priority="371" operator="greaterThan">
      <formula>60</formula>
    </cfRule>
  </conditionalFormatting>
  <conditionalFormatting sqref="O78">
    <cfRule type="cellIs" dxfId="6" priority="370" operator="greaterThan">
      <formula>60</formula>
    </cfRule>
  </conditionalFormatting>
  <conditionalFormatting sqref="O79">
    <cfRule type="cellIs" dxfId="6" priority="369" operator="greaterThan">
      <formula>60</formula>
    </cfRule>
  </conditionalFormatting>
  <conditionalFormatting sqref="O80">
    <cfRule type="cellIs" dxfId="6" priority="368" operator="greaterThan">
      <formula>60</formula>
    </cfRule>
  </conditionalFormatting>
  <conditionalFormatting sqref="O81">
    <cfRule type="cellIs" dxfId="6" priority="367" operator="greaterThan">
      <formula>60</formula>
    </cfRule>
  </conditionalFormatting>
  <conditionalFormatting sqref="O82">
    <cfRule type="cellIs" dxfId="6" priority="366" operator="greaterThan">
      <formula>60</formula>
    </cfRule>
  </conditionalFormatting>
  <conditionalFormatting sqref="O83">
    <cfRule type="cellIs" dxfId="6" priority="365" operator="greaterThan">
      <formula>60</formula>
    </cfRule>
  </conditionalFormatting>
  <conditionalFormatting sqref="O84">
    <cfRule type="cellIs" dxfId="6" priority="364" operator="greaterThan">
      <formula>60</formula>
    </cfRule>
  </conditionalFormatting>
  <conditionalFormatting sqref="O85">
    <cfRule type="cellIs" dxfId="6" priority="363" operator="greaterThan">
      <formula>60</formula>
    </cfRule>
  </conditionalFormatting>
  <conditionalFormatting sqref="O86">
    <cfRule type="cellIs" dxfId="6" priority="362" operator="greaterThan">
      <formula>60</formula>
    </cfRule>
  </conditionalFormatting>
  <conditionalFormatting sqref="O87">
    <cfRule type="cellIs" dxfId="6" priority="361" operator="greaterThan">
      <formula>60</formula>
    </cfRule>
  </conditionalFormatting>
  <conditionalFormatting sqref="O88">
    <cfRule type="cellIs" dxfId="6" priority="360" operator="greaterThan">
      <formula>60</formula>
    </cfRule>
  </conditionalFormatting>
  <conditionalFormatting sqref="O89">
    <cfRule type="cellIs" dxfId="6" priority="359" operator="greaterThan">
      <formula>60</formula>
    </cfRule>
  </conditionalFormatting>
  <conditionalFormatting sqref="O90">
    <cfRule type="cellIs" dxfId="6" priority="358" operator="greaterThan">
      <formula>60</formula>
    </cfRule>
  </conditionalFormatting>
  <conditionalFormatting sqref="H91">
    <cfRule type="containsText" dxfId="0" priority="6" operator="between" text="送full途中">
      <formula>NOT(ISERROR(SEARCH("送full途中",H91)))</formula>
    </cfRule>
    <cfRule type="cellIs" dxfId="1" priority="7" operator="equal">
      <formula>"海外仓"</formula>
    </cfRule>
    <cfRule type="containsText" dxfId="2" priority="8" operator="between" text="入full途中">
      <formula>NOT(ISERROR(SEARCH("入full途中",H91)))</formula>
    </cfRule>
    <cfRule type="cellIs" dxfId="3" priority="9" operator="equal">
      <formula>"约仓中"</formula>
    </cfRule>
  </conditionalFormatting>
  <conditionalFormatting sqref="O91">
    <cfRule type="cellIs" dxfId="6" priority="357" operator="greaterThan">
      <formula>60</formula>
    </cfRule>
  </conditionalFormatting>
  <conditionalFormatting sqref="H92">
    <cfRule type="containsText" dxfId="0" priority="399" operator="between" text="送full途中">
      <formula>NOT(ISERROR(SEARCH("送full途中",H92)))</formula>
    </cfRule>
    <cfRule type="cellIs" dxfId="1" priority="407" operator="equal">
      <formula>"海外仓"</formula>
    </cfRule>
    <cfRule type="containsText" dxfId="2" priority="415" operator="between" text="入full途中">
      <formula>NOT(ISERROR(SEARCH("入full途中",H92)))</formula>
    </cfRule>
    <cfRule type="cellIs" dxfId="3" priority="423" operator="equal">
      <formula>"约仓中"</formula>
    </cfRule>
  </conditionalFormatting>
  <conditionalFormatting sqref="O92">
    <cfRule type="cellIs" dxfId="6" priority="356" operator="greaterThan">
      <formula>60</formula>
    </cfRule>
  </conditionalFormatting>
  <conditionalFormatting sqref="H93">
    <cfRule type="containsText" dxfId="0" priority="209" operator="between" text="送full途中">
      <formula>NOT(ISERROR(SEARCH("送full途中",H93)))</formula>
    </cfRule>
    <cfRule type="cellIs" dxfId="1" priority="229" operator="equal">
      <formula>"海外仓"</formula>
    </cfRule>
    <cfRule type="containsText" dxfId="2" priority="249" operator="between" text="入full途中">
      <formula>NOT(ISERROR(SEARCH("入full途中",H93)))</formula>
    </cfRule>
    <cfRule type="cellIs" dxfId="3" priority="269" operator="equal">
      <formula>"约仓中"</formula>
    </cfRule>
  </conditionalFormatting>
  <conditionalFormatting sqref="I93">
    <cfRule type="containsText" dxfId="7" priority="169" operator="between" text="/">
      <formula>NOT(ISERROR(SEARCH("/",I93)))</formula>
    </cfRule>
    <cfRule type="cellIs" dxfId="8" priority="189" operator="greaterThan">
      <formula>0</formula>
    </cfRule>
  </conditionalFormatting>
  <conditionalFormatting sqref="O93">
    <cfRule type="cellIs" dxfId="6" priority="309" operator="greaterThan">
      <formula>60</formula>
    </cfRule>
  </conditionalFormatting>
  <conditionalFormatting sqref="H94">
    <cfRule type="containsText" dxfId="0" priority="208" operator="between" text="送full途中">
      <formula>NOT(ISERROR(SEARCH("送full途中",H94)))</formula>
    </cfRule>
    <cfRule type="cellIs" dxfId="1" priority="228" operator="equal">
      <formula>"海外仓"</formula>
    </cfRule>
    <cfRule type="containsText" dxfId="2" priority="248" operator="between" text="入full途中">
      <formula>NOT(ISERROR(SEARCH("入full途中",H94)))</formula>
    </cfRule>
    <cfRule type="cellIs" dxfId="3" priority="268" operator="equal">
      <formula>"约仓中"</formula>
    </cfRule>
  </conditionalFormatting>
  <conditionalFormatting sqref="I94">
    <cfRule type="containsText" dxfId="7" priority="168" operator="between" text="/">
      <formula>NOT(ISERROR(SEARCH("/",I94)))</formula>
    </cfRule>
    <cfRule type="cellIs" dxfId="8" priority="188" operator="greaterThan">
      <formula>0</formula>
    </cfRule>
  </conditionalFormatting>
  <conditionalFormatting sqref="O94">
    <cfRule type="cellIs" dxfId="6" priority="307" operator="greaterThan">
      <formula>60</formula>
    </cfRule>
  </conditionalFormatting>
  <conditionalFormatting sqref="H95">
    <cfRule type="containsText" dxfId="0" priority="207" operator="between" text="送full途中">
      <formula>NOT(ISERROR(SEARCH("送full途中",H95)))</formula>
    </cfRule>
    <cfRule type="cellIs" dxfId="1" priority="227" operator="equal">
      <formula>"海外仓"</formula>
    </cfRule>
    <cfRule type="containsText" dxfId="2" priority="247" operator="between" text="入full途中">
      <formula>NOT(ISERROR(SEARCH("入full途中",H95)))</formula>
    </cfRule>
    <cfRule type="cellIs" dxfId="3" priority="267" operator="equal">
      <formula>"约仓中"</formula>
    </cfRule>
  </conditionalFormatting>
  <conditionalFormatting sqref="I95">
    <cfRule type="containsText" dxfId="7" priority="167" operator="between" text="/">
      <formula>NOT(ISERROR(SEARCH("/",I95)))</formula>
    </cfRule>
    <cfRule type="cellIs" dxfId="8" priority="187" operator="greaterThan">
      <formula>0</formula>
    </cfRule>
  </conditionalFormatting>
  <conditionalFormatting sqref="O95">
    <cfRule type="cellIs" dxfId="6" priority="306" operator="greaterThan">
      <formula>60</formula>
    </cfRule>
  </conditionalFormatting>
  <conditionalFormatting sqref="H96">
    <cfRule type="containsText" dxfId="0" priority="206" operator="between" text="送full途中">
      <formula>NOT(ISERROR(SEARCH("送full途中",H96)))</formula>
    </cfRule>
    <cfRule type="cellIs" dxfId="1" priority="226" operator="equal">
      <formula>"海外仓"</formula>
    </cfRule>
    <cfRule type="containsText" dxfId="2" priority="246" operator="between" text="入full途中">
      <formula>NOT(ISERROR(SEARCH("入full途中",H96)))</formula>
    </cfRule>
    <cfRule type="cellIs" dxfId="3" priority="266" operator="equal">
      <formula>"约仓中"</formula>
    </cfRule>
  </conditionalFormatting>
  <conditionalFormatting sqref="I96">
    <cfRule type="containsText" dxfId="7" priority="166" operator="between" text="/">
      <formula>NOT(ISERROR(SEARCH("/",I96)))</formula>
    </cfRule>
    <cfRule type="cellIs" dxfId="8" priority="186" operator="greaterThan">
      <formula>0</formula>
    </cfRule>
  </conditionalFormatting>
  <conditionalFormatting sqref="O96">
    <cfRule type="cellIs" dxfId="6" priority="305" operator="greaterThan">
      <formula>60</formula>
    </cfRule>
  </conditionalFormatting>
  <conditionalFormatting sqref="H97">
    <cfRule type="containsText" dxfId="0" priority="205" operator="between" text="送full途中">
      <formula>NOT(ISERROR(SEARCH("送full途中",H97)))</formula>
    </cfRule>
    <cfRule type="cellIs" dxfId="1" priority="225" operator="equal">
      <formula>"海外仓"</formula>
    </cfRule>
    <cfRule type="containsText" dxfId="2" priority="245" operator="between" text="入full途中">
      <formula>NOT(ISERROR(SEARCH("入full途中",H97)))</formula>
    </cfRule>
    <cfRule type="cellIs" dxfId="3" priority="265" operator="equal">
      <formula>"约仓中"</formula>
    </cfRule>
  </conditionalFormatting>
  <conditionalFormatting sqref="I97">
    <cfRule type="containsText" dxfId="7" priority="165" operator="between" text="/">
      <formula>NOT(ISERROR(SEARCH("/",I97)))</formula>
    </cfRule>
    <cfRule type="cellIs" dxfId="8" priority="185" operator="greaterThan">
      <formula>0</formula>
    </cfRule>
  </conditionalFormatting>
  <conditionalFormatting sqref="O97">
    <cfRule type="cellIs" dxfId="6" priority="304" operator="greaterThan">
      <formula>60</formula>
    </cfRule>
  </conditionalFormatting>
  <conditionalFormatting sqref="H98">
    <cfRule type="containsText" dxfId="0" priority="204" operator="between" text="送full途中">
      <formula>NOT(ISERROR(SEARCH("送full途中",H98)))</formula>
    </cfRule>
    <cfRule type="cellIs" dxfId="1" priority="224" operator="equal">
      <formula>"海外仓"</formula>
    </cfRule>
    <cfRule type="containsText" dxfId="2" priority="244" operator="between" text="入full途中">
      <formula>NOT(ISERROR(SEARCH("入full途中",H98)))</formula>
    </cfRule>
    <cfRule type="cellIs" dxfId="3" priority="264" operator="equal">
      <formula>"约仓中"</formula>
    </cfRule>
  </conditionalFormatting>
  <conditionalFormatting sqref="I98">
    <cfRule type="containsText" dxfId="7" priority="164" operator="between" text="/">
      <formula>NOT(ISERROR(SEARCH("/",I98)))</formula>
    </cfRule>
    <cfRule type="cellIs" dxfId="8" priority="184" operator="greaterThan">
      <formula>0</formula>
    </cfRule>
  </conditionalFormatting>
  <conditionalFormatting sqref="O98">
    <cfRule type="cellIs" dxfId="6" priority="303" operator="greaterThan">
      <formula>60</formula>
    </cfRule>
  </conditionalFormatting>
  <conditionalFormatting sqref="H99">
    <cfRule type="containsText" dxfId="0" priority="203" operator="between" text="送full途中">
      <formula>NOT(ISERROR(SEARCH("送full途中",H99)))</formula>
    </cfRule>
    <cfRule type="cellIs" dxfId="1" priority="223" operator="equal">
      <formula>"海外仓"</formula>
    </cfRule>
    <cfRule type="containsText" dxfId="2" priority="243" operator="between" text="入full途中">
      <formula>NOT(ISERROR(SEARCH("入full途中",H99)))</formula>
    </cfRule>
    <cfRule type="cellIs" dxfId="3" priority="263" operator="equal">
      <formula>"约仓中"</formula>
    </cfRule>
  </conditionalFormatting>
  <conditionalFormatting sqref="I99">
    <cfRule type="containsText" dxfId="7" priority="163" operator="between" text="/">
      <formula>NOT(ISERROR(SEARCH("/",I99)))</formula>
    </cfRule>
    <cfRule type="cellIs" dxfId="8" priority="183" operator="greaterThan">
      <formula>0</formula>
    </cfRule>
  </conditionalFormatting>
  <conditionalFormatting sqref="O99">
    <cfRule type="cellIs" dxfId="6" priority="302" operator="greaterThan">
      <formula>60</formula>
    </cfRule>
  </conditionalFormatting>
  <conditionalFormatting sqref="H100">
    <cfRule type="containsText" dxfId="0" priority="202" operator="between" text="送full途中">
      <formula>NOT(ISERROR(SEARCH("送full途中",H100)))</formula>
    </cfRule>
    <cfRule type="cellIs" dxfId="1" priority="222" operator="equal">
      <formula>"海外仓"</formula>
    </cfRule>
    <cfRule type="containsText" dxfId="2" priority="242" operator="between" text="入full途中">
      <formula>NOT(ISERROR(SEARCH("入full途中",H100)))</formula>
    </cfRule>
    <cfRule type="cellIs" dxfId="3" priority="262" operator="equal">
      <formula>"约仓中"</formula>
    </cfRule>
  </conditionalFormatting>
  <conditionalFormatting sqref="I100">
    <cfRule type="containsText" dxfId="7" priority="162" operator="between" text="/">
      <formula>NOT(ISERROR(SEARCH("/",I100)))</formula>
    </cfRule>
    <cfRule type="cellIs" dxfId="8" priority="182" operator="greaterThan">
      <formula>0</formula>
    </cfRule>
  </conditionalFormatting>
  <conditionalFormatting sqref="O100">
    <cfRule type="cellIs" dxfId="6" priority="301" operator="greaterThan">
      <formula>60</formula>
    </cfRule>
  </conditionalFormatting>
  <conditionalFormatting sqref="H101">
    <cfRule type="containsText" dxfId="0" priority="201" operator="between" text="送full途中">
      <formula>NOT(ISERROR(SEARCH("送full途中",H101)))</formula>
    </cfRule>
    <cfRule type="cellIs" dxfId="1" priority="221" operator="equal">
      <formula>"海外仓"</formula>
    </cfRule>
    <cfRule type="containsText" dxfId="2" priority="241" operator="between" text="入full途中">
      <formula>NOT(ISERROR(SEARCH("入full途中",H101)))</formula>
    </cfRule>
    <cfRule type="cellIs" dxfId="3" priority="261" operator="equal">
      <formula>"约仓中"</formula>
    </cfRule>
  </conditionalFormatting>
  <conditionalFormatting sqref="I101">
    <cfRule type="containsText" dxfId="7" priority="161" operator="between" text="/">
      <formula>NOT(ISERROR(SEARCH("/",I101)))</formula>
    </cfRule>
    <cfRule type="cellIs" dxfId="8" priority="181" operator="greaterThan">
      <formula>0</formula>
    </cfRule>
  </conditionalFormatting>
  <conditionalFormatting sqref="O101">
    <cfRule type="cellIs" dxfId="6" priority="300" operator="greaterThan">
      <formula>60</formula>
    </cfRule>
  </conditionalFormatting>
  <conditionalFormatting sqref="H102">
    <cfRule type="containsText" dxfId="0" priority="200" operator="between" text="送full途中">
      <formula>NOT(ISERROR(SEARCH("送full途中",H102)))</formula>
    </cfRule>
    <cfRule type="cellIs" dxfId="1" priority="220" operator="equal">
      <formula>"海外仓"</formula>
    </cfRule>
    <cfRule type="containsText" dxfId="2" priority="240" operator="between" text="入full途中">
      <formula>NOT(ISERROR(SEARCH("入full途中",H102)))</formula>
    </cfRule>
    <cfRule type="cellIs" dxfId="3" priority="260" operator="equal">
      <formula>"约仓中"</formula>
    </cfRule>
  </conditionalFormatting>
  <conditionalFormatting sqref="I102">
    <cfRule type="containsText" dxfId="7" priority="160" operator="between" text="/">
      <formula>NOT(ISERROR(SEARCH("/",I102)))</formula>
    </cfRule>
    <cfRule type="cellIs" dxfId="8" priority="180" operator="greaterThan">
      <formula>0</formula>
    </cfRule>
  </conditionalFormatting>
  <conditionalFormatting sqref="O102">
    <cfRule type="cellIs" dxfId="6" priority="299" operator="greaterThan">
      <formula>60</formula>
    </cfRule>
  </conditionalFormatting>
  <conditionalFormatting sqref="H103">
    <cfRule type="containsText" dxfId="0" priority="199" operator="between" text="送full途中">
      <formula>NOT(ISERROR(SEARCH("送full途中",H103)))</formula>
    </cfRule>
    <cfRule type="cellIs" dxfId="1" priority="219" operator="equal">
      <formula>"海外仓"</formula>
    </cfRule>
    <cfRule type="containsText" dxfId="2" priority="239" operator="between" text="入full途中">
      <formula>NOT(ISERROR(SEARCH("入full途中",H103)))</formula>
    </cfRule>
    <cfRule type="cellIs" dxfId="3" priority="259" operator="equal">
      <formula>"约仓中"</formula>
    </cfRule>
  </conditionalFormatting>
  <conditionalFormatting sqref="I103">
    <cfRule type="containsText" dxfId="7" priority="159" operator="between" text="/">
      <formula>NOT(ISERROR(SEARCH("/",I103)))</formula>
    </cfRule>
    <cfRule type="cellIs" dxfId="8" priority="179" operator="greaterThan">
      <formula>0</formula>
    </cfRule>
  </conditionalFormatting>
  <conditionalFormatting sqref="O103">
    <cfRule type="cellIs" dxfId="6" priority="298" operator="greaterThan">
      <formula>60</formula>
    </cfRule>
  </conditionalFormatting>
  <conditionalFormatting sqref="H104">
    <cfRule type="containsText" dxfId="0" priority="198" operator="between" text="送full途中">
      <formula>NOT(ISERROR(SEARCH("送full途中",H104)))</formula>
    </cfRule>
    <cfRule type="cellIs" dxfId="1" priority="218" operator="equal">
      <formula>"海外仓"</formula>
    </cfRule>
    <cfRule type="containsText" dxfId="2" priority="238" operator="between" text="入full途中">
      <formula>NOT(ISERROR(SEARCH("入full途中",H104)))</formula>
    </cfRule>
    <cfRule type="cellIs" dxfId="3" priority="258" operator="equal">
      <formula>"约仓中"</formula>
    </cfRule>
  </conditionalFormatting>
  <conditionalFormatting sqref="I104">
    <cfRule type="containsText" dxfId="7" priority="158" operator="between" text="/">
      <formula>NOT(ISERROR(SEARCH("/",I104)))</formula>
    </cfRule>
    <cfRule type="cellIs" dxfId="8" priority="178" operator="greaterThan">
      <formula>0</formula>
    </cfRule>
  </conditionalFormatting>
  <conditionalFormatting sqref="O104">
    <cfRule type="cellIs" dxfId="6" priority="297" operator="greaterThan">
      <formula>60</formula>
    </cfRule>
  </conditionalFormatting>
  <conditionalFormatting sqref="H105">
    <cfRule type="containsText" dxfId="0" priority="197" operator="between" text="送full途中">
      <formula>NOT(ISERROR(SEARCH("送full途中",H105)))</formula>
    </cfRule>
    <cfRule type="cellIs" dxfId="1" priority="217" operator="equal">
      <formula>"海外仓"</formula>
    </cfRule>
    <cfRule type="containsText" dxfId="2" priority="237" operator="between" text="入full途中">
      <formula>NOT(ISERROR(SEARCH("入full途中",H105)))</formula>
    </cfRule>
    <cfRule type="cellIs" dxfId="3" priority="257" operator="equal">
      <formula>"约仓中"</formula>
    </cfRule>
  </conditionalFormatting>
  <conditionalFormatting sqref="I105">
    <cfRule type="containsText" dxfId="7" priority="157" operator="between" text="/">
      <formula>NOT(ISERROR(SEARCH("/",I105)))</formula>
    </cfRule>
    <cfRule type="cellIs" dxfId="8" priority="177" operator="greaterThan">
      <formula>0</formula>
    </cfRule>
  </conditionalFormatting>
  <conditionalFormatting sqref="O105">
    <cfRule type="cellIs" dxfId="6" priority="296" operator="greaterThan">
      <formula>60</formula>
    </cfRule>
  </conditionalFormatting>
  <conditionalFormatting sqref="H106">
    <cfRule type="containsText" dxfId="0" priority="196" operator="between" text="送full途中">
      <formula>NOT(ISERROR(SEARCH("送full途中",H106)))</formula>
    </cfRule>
    <cfRule type="cellIs" dxfId="1" priority="216" operator="equal">
      <formula>"海外仓"</formula>
    </cfRule>
    <cfRule type="containsText" dxfId="2" priority="236" operator="between" text="入full途中">
      <formula>NOT(ISERROR(SEARCH("入full途中",H106)))</formula>
    </cfRule>
    <cfRule type="cellIs" dxfId="3" priority="256" operator="equal">
      <formula>"约仓中"</formula>
    </cfRule>
  </conditionalFormatting>
  <conditionalFormatting sqref="I106">
    <cfRule type="containsText" dxfId="7" priority="156" operator="between" text="/">
      <formula>NOT(ISERROR(SEARCH("/",I106)))</formula>
    </cfRule>
    <cfRule type="cellIs" dxfId="8" priority="176" operator="greaterThan">
      <formula>0</formula>
    </cfRule>
  </conditionalFormatting>
  <conditionalFormatting sqref="O106">
    <cfRule type="cellIs" dxfId="6" priority="295" operator="greaterThan">
      <formula>60</formula>
    </cfRule>
  </conditionalFormatting>
  <conditionalFormatting sqref="H107">
    <cfRule type="containsText" dxfId="0" priority="195" operator="between" text="送full途中">
      <formula>NOT(ISERROR(SEARCH("送full途中",H107)))</formula>
    </cfRule>
    <cfRule type="cellIs" dxfId="1" priority="215" operator="equal">
      <formula>"海外仓"</formula>
    </cfRule>
    <cfRule type="containsText" dxfId="2" priority="235" operator="between" text="入full途中">
      <formula>NOT(ISERROR(SEARCH("入full途中",H107)))</formula>
    </cfRule>
    <cfRule type="cellIs" dxfId="3" priority="255" operator="equal">
      <formula>"约仓中"</formula>
    </cfRule>
  </conditionalFormatting>
  <conditionalFormatting sqref="I107">
    <cfRule type="containsText" dxfId="7" priority="155" operator="between" text="/">
      <formula>NOT(ISERROR(SEARCH("/",I107)))</formula>
    </cfRule>
    <cfRule type="cellIs" dxfId="8" priority="175" operator="greaterThan">
      <formula>0</formula>
    </cfRule>
  </conditionalFormatting>
  <conditionalFormatting sqref="O107">
    <cfRule type="cellIs" dxfId="6" priority="294" operator="greaterThan">
      <formula>60</formula>
    </cfRule>
  </conditionalFormatting>
  <conditionalFormatting sqref="H108">
    <cfRule type="containsText" dxfId="0" priority="194" operator="between" text="送full途中">
      <formula>NOT(ISERROR(SEARCH("送full途中",H108)))</formula>
    </cfRule>
    <cfRule type="cellIs" dxfId="1" priority="214" operator="equal">
      <formula>"海外仓"</formula>
    </cfRule>
    <cfRule type="containsText" dxfId="2" priority="234" operator="between" text="入full途中">
      <formula>NOT(ISERROR(SEARCH("入full途中",H108)))</formula>
    </cfRule>
    <cfRule type="cellIs" dxfId="3" priority="254" operator="equal">
      <formula>"约仓中"</formula>
    </cfRule>
  </conditionalFormatting>
  <conditionalFormatting sqref="I108">
    <cfRule type="containsText" dxfId="7" priority="154" operator="between" text="/">
      <formula>NOT(ISERROR(SEARCH("/",I108)))</formula>
    </cfRule>
    <cfRule type="cellIs" dxfId="8" priority="174" operator="greaterThan">
      <formula>0</formula>
    </cfRule>
  </conditionalFormatting>
  <conditionalFormatting sqref="O108">
    <cfRule type="cellIs" dxfId="6" priority="293" operator="greaterThan">
      <formula>60</formula>
    </cfRule>
  </conditionalFormatting>
  <conditionalFormatting sqref="H109">
    <cfRule type="containsText" dxfId="0" priority="193" operator="between" text="送full途中">
      <formula>NOT(ISERROR(SEARCH("送full途中",H109)))</formula>
    </cfRule>
    <cfRule type="cellIs" dxfId="1" priority="213" operator="equal">
      <formula>"海外仓"</formula>
    </cfRule>
    <cfRule type="containsText" dxfId="2" priority="233" operator="between" text="入full途中">
      <formula>NOT(ISERROR(SEARCH("入full途中",H109)))</formula>
    </cfRule>
    <cfRule type="cellIs" dxfId="3" priority="253" operator="equal">
      <formula>"约仓中"</formula>
    </cfRule>
  </conditionalFormatting>
  <conditionalFormatting sqref="I109">
    <cfRule type="containsText" dxfId="7" priority="153" operator="between" text="/">
      <formula>NOT(ISERROR(SEARCH("/",I109)))</formula>
    </cfRule>
    <cfRule type="cellIs" dxfId="8" priority="173" operator="greaterThan">
      <formula>0</formula>
    </cfRule>
  </conditionalFormatting>
  <conditionalFormatting sqref="O109">
    <cfRule type="cellIs" dxfId="6" priority="292" operator="greaterThan">
      <formula>60</formula>
    </cfRule>
  </conditionalFormatting>
  <conditionalFormatting sqref="H110">
    <cfRule type="containsText" dxfId="0" priority="192" operator="between" text="送full途中">
      <formula>NOT(ISERROR(SEARCH("送full途中",H110)))</formula>
    </cfRule>
    <cfRule type="cellIs" dxfId="1" priority="212" operator="equal">
      <formula>"海外仓"</formula>
    </cfRule>
    <cfRule type="containsText" dxfId="2" priority="232" operator="between" text="入full途中">
      <formula>NOT(ISERROR(SEARCH("入full途中",H110)))</formula>
    </cfRule>
    <cfRule type="cellIs" dxfId="3" priority="252" operator="equal">
      <formula>"约仓中"</formula>
    </cfRule>
  </conditionalFormatting>
  <conditionalFormatting sqref="I110">
    <cfRule type="containsText" dxfId="7" priority="152" operator="between" text="/">
      <formula>NOT(ISERROR(SEARCH("/",I110)))</formula>
    </cfRule>
    <cfRule type="cellIs" dxfId="8" priority="172" operator="greaterThan">
      <formula>0</formula>
    </cfRule>
  </conditionalFormatting>
  <conditionalFormatting sqref="O110">
    <cfRule type="cellIs" dxfId="6" priority="291" operator="greaterThan">
      <formula>60</formula>
    </cfRule>
  </conditionalFormatting>
  <conditionalFormatting sqref="H111">
    <cfRule type="containsText" dxfId="0" priority="191" operator="between" text="送full途中">
      <formula>NOT(ISERROR(SEARCH("送full途中",H111)))</formula>
    </cfRule>
    <cfRule type="cellIs" dxfId="1" priority="211" operator="equal">
      <formula>"海外仓"</formula>
    </cfRule>
    <cfRule type="containsText" dxfId="2" priority="231" operator="between" text="入full途中">
      <formula>NOT(ISERROR(SEARCH("入full途中",H111)))</formula>
    </cfRule>
    <cfRule type="cellIs" dxfId="3" priority="251" operator="equal">
      <formula>"约仓中"</formula>
    </cfRule>
  </conditionalFormatting>
  <conditionalFormatting sqref="I111">
    <cfRule type="containsText" dxfId="7" priority="151" operator="between" text="/">
      <formula>NOT(ISERROR(SEARCH("/",I111)))</formula>
    </cfRule>
    <cfRule type="cellIs" dxfId="8" priority="171" operator="greaterThan">
      <formula>0</formula>
    </cfRule>
  </conditionalFormatting>
  <conditionalFormatting sqref="O111">
    <cfRule type="cellIs" dxfId="6" priority="290" operator="greaterThan">
      <formula>60</formula>
    </cfRule>
  </conditionalFormatting>
  <conditionalFormatting sqref="H112">
    <cfRule type="containsText" dxfId="0" priority="190" operator="between" text="送full途中">
      <formula>NOT(ISERROR(SEARCH("送full途中",H112)))</formula>
    </cfRule>
    <cfRule type="cellIs" dxfId="1" priority="210" operator="equal">
      <formula>"海外仓"</formula>
    </cfRule>
    <cfRule type="containsText" dxfId="2" priority="230" operator="between" text="入full途中">
      <formula>NOT(ISERROR(SEARCH("入full途中",H112)))</formula>
    </cfRule>
    <cfRule type="cellIs" dxfId="3" priority="250" operator="equal">
      <formula>"约仓中"</formula>
    </cfRule>
  </conditionalFormatting>
  <conditionalFormatting sqref="I112">
    <cfRule type="containsText" dxfId="7" priority="150" operator="between" text="/">
      <formula>NOT(ISERROR(SEARCH("/",I112)))</formula>
    </cfRule>
    <cfRule type="cellIs" dxfId="8" priority="170" operator="greaterThan">
      <formula>0</formula>
    </cfRule>
  </conditionalFormatting>
  <conditionalFormatting sqref="H113">
    <cfRule type="containsText" dxfId="0" priority="75" operator="between" text="送full途中">
      <formula>NOT(ISERROR(SEARCH("送full途中",H113)))</formula>
    </cfRule>
    <cfRule type="cellIs" dxfId="1" priority="94" operator="equal">
      <formula>"海外仓"</formula>
    </cfRule>
    <cfRule type="containsText" dxfId="2" priority="113" operator="between" text="入full途中">
      <formula>NOT(ISERROR(SEARCH("入full途中",H113)))</formula>
    </cfRule>
    <cfRule type="cellIs" dxfId="3" priority="132" operator="equal">
      <formula>"约仓中"</formula>
    </cfRule>
  </conditionalFormatting>
  <conditionalFormatting sqref="I113">
    <cfRule type="containsText" dxfId="7" priority="37" operator="between" text="/">
      <formula>NOT(ISERROR(SEARCH("/",I113)))</formula>
    </cfRule>
    <cfRule type="cellIs" dxfId="8" priority="56" operator="greaterThan">
      <formula>0</formula>
    </cfRule>
  </conditionalFormatting>
  <conditionalFormatting sqref="H114">
    <cfRule type="containsText" dxfId="0" priority="74" operator="between" text="送full途中">
      <formula>NOT(ISERROR(SEARCH("送full途中",H114)))</formula>
    </cfRule>
    <cfRule type="cellIs" dxfId="1" priority="93" operator="equal">
      <formula>"海外仓"</formula>
    </cfRule>
    <cfRule type="containsText" dxfId="2" priority="112" operator="between" text="入full途中">
      <formula>NOT(ISERROR(SEARCH("入full途中",H114)))</formula>
    </cfRule>
    <cfRule type="cellIs" dxfId="3" priority="131" operator="equal">
      <formula>"约仓中"</formula>
    </cfRule>
  </conditionalFormatting>
  <conditionalFormatting sqref="I114">
    <cfRule type="containsText" dxfId="7" priority="36" operator="between" text="/">
      <formula>NOT(ISERROR(SEARCH("/",I114)))</formula>
    </cfRule>
    <cfRule type="cellIs" dxfId="8" priority="55" operator="greaterThan">
      <formula>0</formula>
    </cfRule>
  </conditionalFormatting>
  <conditionalFormatting sqref="H115">
    <cfRule type="containsText" dxfId="0" priority="73" operator="between" text="送full途中">
      <formula>NOT(ISERROR(SEARCH("送full途中",H115)))</formula>
    </cfRule>
    <cfRule type="cellIs" dxfId="1" priority="92" operator="equal">
      <formula>"海外仓"</formula>
    </cfRule>
    <cfRule type="containsText" dxfId="2" priority="111" operator="between" text="入full途中">
      <formula>NOT(ISERROR(SEARCH("入full途中",H115)))</formula>
    </cfRule>
    <cfRule type="cellIs" dxfId="3" priority="130" operator="equal">
      <formula>"约仓中"</formula>
    </cfRule>
  </conditionalFormatting>
  <conditionalFormatting sqref="I115">
    <cfRule type="containsText" dxfId="7" priority="35" operator="between" text="/">
      <formula>NOT(ISERROR(SEARCH("/",I115)))</formula>
    </cfRule>
    <cfRule type="cellIs" dxfId="8" priority="54" operator="greaterThan">
      <formula>0</formula>
    </cfRule>
  </conditionalFormatting>
  <conditionalFormatting sqref="H116">
    <cfRule type="containsText" dxfId="0" priority="72" operator="between" text="送full途中">
      <formula>NOT(ISERROR(SEARCH("送full途中",H116)))</formula>
    </cfRule>
    <cfRule type="cellIs" dxfId="1" priority="91" operator="equal">
      <formula>"海外仓"</formula>
    </cfRule>
    <cfRule type="containsText" dxfId="2" priority="110" operator="between" text="入full途中">
      <formula>NOT(ISERROR(SEARCH("入full途中",H116)))</formula>
    </cfRule>
    <cfRule type="cellIs" dxfId="3" priority="129" operator="equal">
      <formula>"约仓中"</formula>
    </cfRule>
  </conditionalFormatting>
  <conditionalFormatting sqref="I116">
    <cfRule type="containsText" dxfId="7" priority="34" operator="between" text="/">
      <formula>NOT(ISERROR(SEARCH("/",I116)))</formula>
    </cfRule>
    <cfRule type="cellIs" dxfId="8" priority="53" operator="greaterThan">
      <formula>0</formula>
    </cfRule>
  </conditionalFormatting>
  <conditionalFormatting sqref="H117">
    <cfRule type="containsText" dxfId="0" priority="71" operator="between" text="送full途中">
      <formula>NOT(ISERROR(SEARCH("送full途中",H117)))</formula>
    </cfRule>
    <cfRule type="cellIs" dxfId="1" priority="90" operator="equal">
      <formula>"海外仓"</formula>
    </cfRule>
    <cfRule type="containsText" dxfId="2" priority="109" operator="between" text="入full途中">
      <formula>NOT(ISERROR(SEARCH("入full途中",H117)))</formula>
    </cfRule>
    <cfRule type="cellIs" dxfId="3" priority="128" operator="equal">
      <formula>"约仓中"</formula>
    </cfRule>
  </conditionalFormatting>
  <conditionalFormatting sqref="I117">
    <cfRule type="containsText" dxfId="7" priority="33" operator="between" text="/">
      <formula>NOT(ISERROR(SEARCH("/",I117)))</formula>
    </cfRule>
    <cfRule type="cellIs" dxfId="8" priority="52" operator="greaterThan">
      <formula>0</formula>
    </cfRule>
  </conditionalFormatting>
  <conditionalFormatting sqref="H118">
    <cfRule type="containsText" dxfId="0" priority="70" operator="between" text="送full途中">
      <formula>NOT(ISERROR(SEARCH("送full途中",H118)))</formula>
    </cfRule>
    <cfRule type="cellIs" dxfId="1" priority="89" operator="equal">
      <formula>"海外仓"</formula>
    </cfRule>
    <cfRule type="containsText" dxfId="2" priority="108" operator="between" text="入full途中">
      <formula>NOT(ISERROR(SEARCH("入full途中",H118)))</formula>
    </cfRule>
    <cfRule type="cellIs" dxfId="3" priority="127" operator="equal">
      <formula>"约仓中"</formula>
    </cfRule>
  </conditionalFormatting>
  <conditionalFormatting sqref="I118">
    <cfRule type="containsText" dxfId="7" priority="32" operator="between" text="/">
      <formula>NOT(ISERROR(SEARCH("/",I118)))</formula>
    </cfRule>
    <cfRule type="cellIs" dxfId="8" priority="51" operator="greaterThan">
      <formula>0</formula>
    </cfRule>
  </conditionalFormatting>
  <conditionalFormatting sqref="H119">
    <cfRule type="containsText" dxfId="0" priority="69" operator="between" text="送full途中">
      <formula>NOT(ISERROR(SEARCH("送full途中",H119)))</formula>
    </cfRule>
    <cfRule type="cellIs" dxfId="1" priority="88" operator="equal">
      <formula>"海外仓"</formula>
    </cfRule>
    <cfRule type="containsText" dxfId="2" priority="107" operator="between" text="入full途中">
      <formula>NOT(ISERROR(SEARCH("入full途中",H119)))</formula>
    </cfRule>
    <cfRule type="cellIs" dxfId="3" priority="126" operator="equal">
      <formula>"约仓中"</formula>
    </cfRule>
  </conditionalFormatting>
  <conditionalFormatting sqref="I119">
    <cfRule type="containsText" dxfId="7" priority="31" operator="between" text="/">
      <formula>NOT(ISERROR(SEARCH("/",I119)))</formula>
    </cfRule>
    <cfRule type="cellIs" dxfId="8" priority="50" operator="greaterThan">
      <formula>0</formula>
    </cfRule>
  </conditionalFormatting>
  <conditionalFormatting sqref="H120">
    <cfRule type="containsText" dxfId="0" priority="68" operator="between" text="送full途中">
      <formula>NOT(ISERROR(SEARCH("送full途中",H120)))</formula>
    </cfRule>
    <cfRule type="cellIs" dxfId="1" priority="87" operator="equal">
      <formula>"海外仓"</formula>
    </cfRule>
    <cfRule type="containsText" dxfId="2" priority="106" operator="between" text="入full途中">
      <formula>NOT(ISERROR(SEARCH("入full途中",H120)))</formula>
    </cfRule>
    <cfRule type="cellIs" dxfId="3" priority="125" operator="equal">
      <formula>"约仓中"</formula>
    </cfRule>
  </conditionalFormatting>
  <conditionalFormatting sqref="I120">
    <cfRule type="containsText" dxfId="7" priority="30" operator="between" text="/">
      <formula>NOT(ISERROR(SEARCH("/",I120)))</formula>
    </cfRule>
    <cfRule type="cellIs" dxfId="8" priority="49" operator="greaterThan">
      <formula>0</formula>
    </cfRule>
  </conditionalFormatting>
  <conditionalFormatting sqref="H121">
    <cfRule type="containsText" dxfId="0" priority="67" operator="between" text="送full途中">
      <formula>NOT(ISERROR(SEARCH("送full途中",H121)))</formula>
    </cfRule>
    <cfRule type="cellIs" dxfId="1" priority="86" operator="equal">
      <formula>"海外仓"</formula>
    </cfRule>
    <cfRule type="containsText" dxfId="2" priority="105" operator="between" text="入full途中">
      <formula>NOT(ISERROR(SEARCH("入full途中",H121)))</formula>
    </cfRule>
    <cfRule type="cellIs" dxfId="3" priority="124" operator="equal">
      <formula>"约仓中"</formula>
    </cfRule>
  </conditionalFormatting>
  <conditionalFormatting sqref="I121">
    <cfRule type="containsText" dxfId="7" priority="29" operator="between" text="/">
      <formula>NOT(ISERROR(SEARCH("/",I121)))</formula>
    </cfRule>
    <cfRule type="cellIs" dxfId="8" priority="48" operator="greaterThan">
      <formula>0</formula>
    </cfRule>
  </conditionalFormatting>
  <conditionalFormatting sqref="H122">
    <cfRule type="containsText" dxfId="0" priority="66" operator="between" text="送full途中">
      <formula>NOT(ISERROR(SEARCH("送full途中",H122)))</formula>
    </cfRule>
    <cfRule type="cellIs" dxfId="1" priority="85" operator="equal">
      <formula>"海外仓"</formula>
    </cfRule>
    <cfRule type="containsText" dxfId="2" priority="104" operator="between" text="入full途中">
      <formula>NOT(ISERROR(SEARCH("入full途中",H122)))</formula>
    </cfRule>
    <cfRule type="cellIs" dxfId="3" priority="123" operator="equal">
      <formula>"约仓中"</formula>
    </cfRule>
  </conditionalFormatting>
  <conditionalFormatting sqref="I122">
    <cfRule type="containsText" dxfId="7" priority="28" operator="between" text="/">
      <formula>NOT(ISERROR(SEARCH("/",I122)))</formula>
    </cfRule>
    <cfRule type="cellIs" dxfId="8" priority="47" operator="greaterThan">
      <formula>0</formula>
    </cfRule>
  </conditionalFormatting>
  <conditionalFormatting sqref="H123">
    <cfRule type="containsText" dxfId="0" priority="65" operator="between" text="送full途中">
      <formula>NOT(ISERROR(SEARCH("送full途中",H123)))</formula>
    </cfRule>
    <cfRule type="cellIs" dxfId="1" priority="84" operator="equal">
      <formula>"海外仓"</formula>
    </cfRule>
    <cfRule type="containsText" dxfId="2" priority="103" operator="between" text="入full途中">
      <formula>NOT(ISERROR(SEARCH("入full途中",H123)))</formula>
    </cfRule>
    <cfRule type="cellIs" dxfId="3" priority="122" operator="equal">
      <formula>"约仓中"</formula>
    </cfRule>
  </conditionalFormatting>
  <conditionalFormatting sqref="I123">
    <cfRule type="containsText" dxfId="7" priority="27" operator="between" text="/">
      <formula>NOT(ISERROR(SEARCH("/",I123)))</formula>
    </cfRule>
    <cfRule type="cellIs" dxfId="8" priority="46" operator="greaterThan">
      <formula>0</formula>
    </cfRule>
  </conditionalFormatting>
  <conditionalFormatting sqref="H124">
    <cfRule type="containsText" dxfId="0" priority="64" operator="between" text="送full途中">
      <formula>NOT(ISERROR(SEARCH("送full途中",H124)))</formula>
    </cfRule>
    <cfRule type="cellIs" dxfId="1" priority="83" operator="equal">
      <formula>"海外仓"</formula>
    </cfRule>
    <cfRule type="containsText" dxfId="2" priority="102" operator="between" text="入full途中">
      <formula>NOT(ISERROR(SEARCH("入full途中",H124)))</formula>
    </cfRule>
    <cfRule type="cellIs" dxfId="3" priority="121" operator="equal">
      <formula>"约仓中"</formula>
    </cfRule>
  </conditionalFormatting>
  <conditionalFormatting sqref="I124">
    <cfRule type="containsText" dxfId="7" priority="26" operator="between" text="/">
      <formula>NOT(ISERROR(SEARCH("/",I124)))</formula>
    </cfRule>
    <cfRule type="cellIs" dxfId="8" priority="45" operator="greaterThan">
      <formula>0</formula>
    </cfRule>
  </conditionalFormatting>
  <conditionalFormatting sqref="H125">
    <cfRule type="containsText" dxfId="0" priority="63" operator="between" text="送full途中">
      <formula>NOT(ISERROR(SEARCH("送full途中",H125)))</formula>
    </cfRule>
    <cfRule type="cellIs" dxfId="1" priority="82" operator="equal">
      <formula>"海外仓"</formula>
    </cfRule>
    <cfRule type="containsText" dxfId="2" priority="101" operator="between" text="入full途中">
      <formula>NOT(ISERROR(SEARCH("入full途中",H125)))</formula>
    </cfRule>
    <cfRule type="cellIs" dxfId="3" priority="120" operator="equal">
      <formula>"约仓中"</formula>
    </cfRule>
  </conditionalFormatting>
  <conditionalFormatting sqref="I125">
    <cfRule type="containsText" dxfId="7" priority="25" operator="between" text="/">
      <formula>NOT(ISERROR(SEARCH("/",I125)))</formula>
    </cfRule>
    <cfRule type="cellIs" dxfId="8" priority="44" operator="greaterThan">
      <formula>0</formula>
    </cfRule>
  </conditionalFormatting>
  <conditionalFormatting sqref="H126">
    <cfRule type="containsText" dxfId="0" priority="62" operator="between" text="送full途中">
      <formula>NOT(ISERROR(SEARCH("送full途中",H126)))</formula>
    </cfRule>
    <cfRule type="cellIs" dxfId="1" priority="81" operator="equal">
      <formula>"海外仓"</formula>
    </cfRule>
    <cfRule type="containsText" dxfId="2" priority="100" operator="between" text="入full途中">
      <formula>NOT(ISERROR(SEARCH("入full途中",H126)))</formula>
    </cfRule>
    <cfRule type="cellIs" dxfId="3" priority="119" operator="equal">
      <formula>"约仓中"</formula>
    </cfRule>
  </conditionalFormatting>
  <conditionalFormatting sqref="I126">
    <cfRule type="containsText" dxfId="7" priority="24" operator="between" text="/">
      <formula>NOT(ISERROR(SEARCH("/",I126)))</formula>
    </cfRule>
    <cfRule type="cellIs" dxfId="8" priority="43" operator="greaterThan">
      <formula>0</formula>
    </cfRule>
  </conditionalFormatting>
  <conditionalFormatting sqref="H127">
    <cfRule type="containsText" dxfId="0" priority="61" operator="between" text="送full途中">
      <formula>NOT(ISERROR(SEARCH("送full途中",H127)))</formula>
    </cfRule>
    <cfRule type="cellIs" dxfId="1" priority="80" operator="equal">
      <formula>"海外仓"</formula>
    </cfRule>
    <cfRule type="containsText" dxfId="2" priority="99" operator="between" text="入full途中">
      <formula>NOT(ISERROR(SEARCH("入full途中",H127)))</formula>
    </cfRule>
    <cfRule type="cellIs" dxfId="3" priority="118" operator="equal">
      <formula>"约仓中"</formula>
    </cfRule>
  </conditionalFormatting>
  <conditionalFormatting sqref="I127">
    <cfRule type="containsText" dxfId="7" priority="23" operator="between" text="/">
      <formula>NOT(ISERROR(SEARCH("/",I127)))</formula>
    </cfRule>
    <cfRule type="cellIs" dxfId="8" priority="42" operator="greaterThan">
      <formula>0</formula>
    </cfRule>
  </conditionalFormatting>
  <conditionalFormatting sqref="H128">
    <cfRule type="containsText" dxfId="0" priority="60" operator="between" text="送full途中">
      <formula>NOT(ISERROR(SEARCH("送full途中",H128)))</formula>
    </cfRule>
    <cfRule type="cellIs" dxfId="1" priority="79" operator="equal">
      <formula>"海外仓"</formula>
    </cfRule>
    <cfRule type="containsText" dxfId="2" priority="98" operator="between" text="入full途中">
      <formula>NOT(ISERROR(SEARCH("入full途中",H128)))</formula>
    </cfRule>
    <cfRule type="cellIs" dxfId="3" priority="117" operator="equal">
      <formula>"约仓中"</formula>
    </cfRule>
  </conditionalFormatting>
  <conditionalFormatting sqref="I128">
    <cfRule type="containsText" dxfId="7" priority="22" operator="between" text="/">
      <formula>NOT(ISERROR(SEARCH("/",I128)))</formula>
    </cfRule>
    <cfRule type="cellIs" dxfId="8" priority="41" operator="greaterThan">
      <formula>0</formula>
    </cfRule>
  </conditionalFormatting>
  <conditionalFormatting sqref="H129">
    <cfRule type="containsText" dxfId="0" priority="59" operator="between" text="送full途中">
      <formula>NOT(ISERROR(SEARCH("送full途中",H129)))</formula>
    </cfRule>
    <cfRule type="cellIs" dxfId="1" priority="78" operator="equal">
      <formula>"海外仓"</formula>
    </cfRule>
    <cfRule type="containsText" dxfId="2" priority="97" operator="between" text="入full途中">
      <formula>NOT(ISERROR(SEARCH("入full途中",H129)))</formula>
    </cfRule>
    <cfRule type="cellIs" dxfId="3" priority="116" operator="equal">
      <formula>"约仓中"</formula>
    </cfRule>
  </conditionalFormatting>
  <conditionalFormatting sqref="I129">
    <cfRule type="containsText" dxfId="7" priority="21" operator="between" text="/">
      <formula>NOT(ISERROR(SEARCH("/",I129)))</formula>
    </cfRule>
    <cfRule type="cellIs" dxfId="8" priority="40" operator="greaterThan">
      <formula>0</formula>
    </cfRule>
  </conditionalFormatting>
  <conditionalFormatting sqref="H130">
    <cfRule type="containsText" dxfId="0" priority="58" operator="between" text="送full途中">
      <formula>NOT(ISERROR(SEARCH("送full途中",H130)))</formula>
    </cfRule>
    <cfRule type="cellIs" dxfId="1" priority="77" operator="equal">
      <formula>"海外仓"</formula>
    </cfRule>
    <cfRule type="containsText" dxfId="2" priority="96" operator="between" text="入full途中">
      <formula>NOT(ISERROR(SEARCH("入full途中",H130)))</formula>
    </cfRule>
    <cfRule type="cellIs" dxfId="3" priority="115" operator="equal">
      <formula>"约仓中"</formula>
    </cfRule>
  </conditionalFormatting>
  <conditionalFormatting sqref="I130">
    <cfRule type="containsText" dxfId="7" priority="20" operator="between" text="/">
      <formula>NOT(ISERROR(SEARCH("/",I130)))</formula>
    </cfRule>
    <cfRule type="cellIs" dxfId="8" priority="39" operator="greaterThan">
      <formula>0</formula>
    </cfRule>
  </conditionalFormatting>
  <conditionalFormatting sqref="H131">
    <cfRule type="containsText" dxfId="0" priority="57" operator="between" text="送full途中">
      <formula>NOT(ISERROR(SEARCH("送full途中",H131)))</formula>
    </cfRule>
    <cfRule type="cellIs" dxfId="1" priority="76" operator="equal">
      <formula>"海外仓"</formula>
    </cfRule>
    <cfRule type="containsText" dxfId="2" priority="95" operator="between" text="入full途中">
      <formula>NOT(ISERROR(SEARCH("入full途中",H131)))</formula>
    </cfRule>
    <cfRule type="cellIs" dxfId="3" priority="114" operator="equal">
      <formula>"约仓中"</formula>
    </cfRule>
  </conditionalFormatting>
  <conditionalFormatting sqref="I131">
    <cfRule type="containsText" dxfId="7" priority="19" operator="between" text="/">
      <formula>NOT(ISERROR(SEARCH("/",I131)))</formula>
    </cfRule>
    <cfRule type="cellIs" dxfId="8" priority="38" operator="greaterThan">
      <formula>0</formula>
    </cfRule>
  </conditionalFormatting>
  <conditionalFormatting sqref="H2:H9">
    <cfRule type="containsText" dxfId="0" priority="607" operator="between" text="送full途中">
      <formula>NOT(ISERROR(SEARCH("送full途中",H2)))</formula>
    </cfRule>
    <cfRule type="cellIs" dxfId="1" priority="608" operator="equal">
      <formula>"海外仓"</formula>
    </cfRule>
    <cfRule type="containsText" dxfId="2" priority="609" operator="between" text="入full途中">
      <formula>NOT(ISERROR(SEARCH("入full途中",H2)))</formula>
    </cfRule>
    <cfRule type="cellIs" dxfId="3" priority="610" operator="equal">
      <formula>"约仓中"</formula>
    </cfRule>
  </conditionalFormatting>
  <conditionalFormatting sqref="H14:H16">
    <cfRule type="containsText" dxfId="0" priority="578" operator="between" text="送full途中">
      <formula>NOT(ISERROR(SEARCH("送full途中",H14)))</formula>
    </cfRule>
    <cfRule type="cellIs" dxfId="1" priority="579" operator="equal">
      <formula>"海外仓"</formula>
    </cfRule>
    <cfRule type="containsText" dxfId="2" priority="580" operator="between" text="入full途中">
      <formula>NOT(ISERROR(SEARCH("入full途中",H14)))</formula>
    </cfRule>
    <cfRule type="cellIs" dxfId="3" priority="581" operator="equal">
      <formula>"约仓中"</formula>
    </cfRule>
  </conditionalFormatting>
  <conditionalFormatting sqref="H17:H20">
    <cfRule type="containsText" dxfId="0" priority="133" operator="between" text="送full途中">
      <formula>NOT(ISERROR(SEARCH("送full途中",H17)))</formula>
    </cfRule>
    <cfRule type="cellIs" dxfId="1" priority="134" operator="equal">
      <formula>"海外仓"</formula>
    </cfRule>
    <cfRule type="containsText" dxfId="2" priority="135" operator="between" text="入full途中">
      <formula>NOT(ISERROR(SEARCH("入full途中",H17)))</formula>
    </cfRule>
    <cfRule type="cellIs" dxfId="3" priority="136" operator="equal">
      <formula>"约仓中"</formula>
    </cfRule>
  </conditionalFormatting>
  <conditionalFormatting sqref="H21:H29">
    <cfRule type="containsText" dxfId="0" priority="500" operator="between" text="送full途中">
      <formula>NOT(ISERROR(SEARCH("送full途中",H21)))</formula>
    </cfRule>
    <cfRule type="cellIs" dxfId="1" priority="501" operator="equal">
      <formula>"海外仓"</formula>
    </cfRule>
    <cfRule type="containsText" dxfId="2" priority="502" operator="between" text="入full途中">
      <formula>NOT(ISERROR(SEARCH("入full途中",H21)))</formula>
    </cfRule>
    <cfRule type="cellIs" dxfId="3" priority="503" operator="equal">
      <formula>"约仓中"</formula>
    </cfRule>
  </conditionalFormatting>
  <conditionalFormatting sqref="H31:H38">
    <cfRule type="containsText" dxfId="9" priority="504" operator="between" text="海外仓">
      <formula>NOT(ISERROR(SEARCH("海外仓",H31)))</formula>
    </cfRule>
  </conditionalFormatting>
  <conditionalFormatting sqref="H53:H54">
    <cfRule type="containsText" dxfId="0" priority="313" operator="between" text="送full途中">
      <formula>NOT(ISERROR(SEARCH("送full途中",H53)))</formula>
    </cfRule>
    <cfRule type="cellIs" dxfId="1" priority="314" operator="equal">
      <formula>"海外仓"</formula>
    </cfRule>
    <cfRule type="containsText" dxfId="2" priority="315" operator="between" text="入full途中">
      <formula>NOT(ISERROR(SEARCH("入full途中",H53)))</formula>
    </cfRule>
    <cfRule type="cellIs" dxfId="3" priority="316" operator="equal">
      <formula>"约仓中"</formula>
    </cfRule>
  </conditionalFormatting>
  <conditionalFormatting sqref="H61:H63">
    <cfRule type="containsText" dxfId="0" priority="2" operator="between" text="送full途中">
      <formula>NOT(ISERROR(SEARCH("送full途中",H61)))</formula>
    </cfRule>
    <cfRule type="cellIs" dxfId="1" priority="3" operator="equal">
      <formula>"海外仓"</formula>
    </cfRule>
    <cfRule type="containsText" dxfId="2" priority="4" operator="between" text="入full途中">
      <formula>NOT(ISERROR(SEARCH("入full途中",H61)))</formula>
    </cfRule>
    <cfRule type="cellIs" dxfId="3" priority="5" operator="equal">
      <formula>"约仓中"</formula>
    </cfRule>
  </conditionalFormatting>
  <conditionalFormatting sqref="H71:H85">
    <cfRule type="containsText" dxfId="0" priority="137" operator="between" text="送full途中">
      <formula>NOT(ISERROR(SEARCH("送full途中",H71)))</formula>
    </cfRule>
    <cfRule type="cellIs" dxfId="1" priority="138" operator="equal">
      <formula>"海外仓"</formula>
    </cfRule>
    <cfRule type="containsText" dxfId="2" priority="139" operator="between" text="入full途中">
      <formula>NOT(ISERROR(SEARCH("入full途中",H71)))</formula>
    </cfRule>
    <cfRule type="cellIs" dxfId="3" priority="140" operator="equal">
      <formula>"约仓中"</formula>
    </cfRule>
  </conditionalFormatting>
  <conditionalFormatting sqref="H86:H90">
    <cfRule type="containsText" dxfId="0" priority="10" operator="between" text="送full途中">
      <formula>NOT(ISERROR(SEARCH("送full途中",H86)))</formula>
    </cfRule>
    <cfRule type="cellIs" dxfId="1" priority="11" operator="equal">
      <formula>"海外仓"</formula>
    </cfRule>
    <cfRule type="containsText" dxfId="2" priority="12" operator="between" text="入full途中">
      <formula>NOT(ISERROR(SEARCH("入full途中",H86)))</formula>
    </cfRule>
    <cfRule type="cellIs" dxfId="3" priority="13" operator="equal">
      <formula>"约仓中"</formula>
    </cfRule>
  </conditionalFormatting>
  <conditionalFormatting sqref="I2:I9">
    <cfRule type="containsText" dxfId="7" priority="605" operator="between" text="/">
      <formula>NOT(ISERROR(SEARCH("/",I2)))</formula>
    </cfRule>
    <cfRule type="cellIs" dxfId="8" priority="606" operator="greaterThan">
      <formula>0</formula>
    </cfRule>
  </conditionalFormatting>
  <conditionalFormatting sqref="J2:J6">
    <cfRule type="containsText" dxfId="4" priority="601" operator="between" text="罚款">
      <formula>NOT(ISERROR(SEARCH("罚款",J2)))</formula>
    </cfRule>
    <cfRule type="containsText" dxfId="5" priority="602" operator="between" text="预约-">
      <formula>NOT(ISERROR(SEARCH("预约-",J2)))</formula>
    </cfRule>
    <cfRule type="containsText" dxfId="0" priority="603" operator="between" text="预约中">
      <formula>NOT(ISERROR(SEARCH("预约中",J2)))</formula>
    </cfRule>
  </conditionalFormatting>
  <conditionalFormatting sqref="J137:J148">
    <cfRule type="cellIs" dxfId="10" priority="326" operator="greaterThan">
      <formula>1</formula>
    </cfRule>
  </conditionalFormatting>
  <conditionalFormatting sqref="K51:K54">
    <cfRule type="containsText" dxfId="7" priority="518" operator="between" text="/">
      <formula>NOT(ISERROR(SEARCH("/",K51)))</formula>
    </cfRule>
    <cfRule type="cellIs" dxfId="8" priority="519" operator="greaterThan">
      <formula>0</formula>
    </cfRule>
  </conditionalFormatting>
  <conditionalFormatting sqref="K55:K92">
    <cfRule type="containsText" dxfId="7" priority="480" operator="between" text="/">
      <formula>NOT(ISERROR(SEARCH("/",K55)))</formula>
    </cfRule>
    <cfRule type="cellIs" dxfId="8" priority="481" operator="greaterThan">
      <formula>0</formula>
    </cfRule>
  </conditionalFormatting>
  <conditionalFormatting sqref="K93:K112">
    <cfRule type="containsText" dxfId="7" priority="310" operator="between" text="/">
      <formula>NOT(ISERROR(SEARCH("/",K93)))</formula>
    </cfRule>
    <cfRule type="cellIs" dxfId="8" priority="311" operator="greaterThan">
      <formula>0</formula>
    </cfRule>
  </conditionalFormatting>
  <conditionalFormatting sqref="O55:O63">
    <cfRule type="cellIs" dxfId="6" priority="493" operator="greaterThan">
      <formula>60</formula>
    </cfRule>
  </conditionalFormatting>
  <conditionalFormatting sqref="O112:O131">
    <cfRule type="cellIs" dxfId="6" priority="289" operator="greaterThan">
      <formula>60</formula>
    </cfRule>
  </conditionalFormatting>
  <conditionalFormatting sqref="H1 H149 H151:H1047500">
    <cfRule type="containsText" dxfId="0" priority="614" operator="between" text="送full途中">
      <formula>NOT(ISERROR(SEARCH("送full途中",H1)))</formula>
    </cfRule>
    <cfRule type="cellIs" dxfId="1" priority="615" operator="equal">
      <formula>"海外仓"</formula>
    </cfRule>
    <cfRule type="containsText" dxfId="2" priority="616" operator="between" text="入full途中">
      <formula>NOT(ISERROR(SEARCH("入full途中",H1)))</formula>
    </cfRule>
    <cfRule type="cellIs" dxfId="3" priority="617" operator="equal">
      <formula>"约仓中"</formula>
    </cfRule>
  </conditionalFormatting>
  <conditionalFormatting sqref="I1:J1 I149:J1047500">
    <cfRule type="cellIs" dxfId="11" priority="618" operator="between">
      <formula>1</formula>
      <formula>1000</formula>
    </cfRule>
    <cfRule type="containsText" dxfId="7" priority="623" operator="between" text="/">
      <formula>NOT(ISERROR(SEARCH("/",I1)))</formula>
    </cfRule>
  </conditionalFormatting>
  <conditionalFormatting sqref="O2:O50 O133:O1047500">
    <cfRule type="cellIs" dxfId="6" priority="613" operator="greaterThan">
      <formula>60</formula>
    </cfRule>
  </conditionalFormatting>
  <dataValidations count="2">
    <dataValidation allowBlank="1" showInputMessage="1" showErrorMessage="1" sqref="H1 H10 H11 H12 H13 H30 H55 H64 H132 H149 H2:H6 H7:H9 H14:H16 H17:H20 H21:H24 H25:H29 H39:H45 H46:H50 H51:H52 H53:H54 H56:H63 H65:H131 H151:H1047500"/>
    <dataValidation type="list" allowBlank="1" showInputMessage="1" showErrorMessage="1" sqref="E132 E149:E64549">
      <formula1>"留仓, 入仓"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WPS_1603865452</cp:lastModifiedBy>
  <dcterms:created xsi:type="dcterms:W3CDTF">2026-07-24T07:39:25Z</dcterms:created>
  <dcterms:modified xsi:type="dcterms:W3CDTF">2026-07-24T07:42:40Z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4256C186AB4E4C1CB4BDCA4814999E04_11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